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751DC463-28B6-43B1-A330-8E60AD5EF02F}" xr6:coauthVersionLast="47" xr6:coauthVersionMax="47" xr10:uidLastSave="{00000000-0000-0000-0000-000000000000}"/>
  <bookViews>
    <workbookView xWindow="-120" yWindow="-120" windowWidth="29040" windowHeight="15720" tabRatio="836" firstSheet="2" activeTab="6" xr2:uid="{00000000-000D-0000-FFFF-FFFF00000000}"/>
  </bookViews>
  <sheets>
    <sheet name="DPR Stage ....Date" sheetId="9" state="hidden" r:id="rId1"/>
    <sheet name="Sheet1" sheetId="11" state="hidden" r:id="rId2"/>
    <sheet name="DPR Stage(NEW)...9.2.24" sheetId="17" r:id="rId3"/>
    <sheet name="DPR Activity Checklist" sheetId="19" r:id="rId4"/>
    <sheet name="Stage Report" sheetId="16" state="hidden" r:id="rId5"/>
    <sheet name="Approval Authority GDR" sheetId="18" state="hidden" r:id="rId6"/>
    <sheet name="Approval Authority ." sheetId="21" r:id="rId7"/>
    <sheet name="DPR activity" sheetId="15" r:id="rId8"/>
    <sheet name="Checklist" sheetId="20" r:id="rId9"/>
  </sheets>
  <definedNames>
    <definedName name="_xlnm._FilterDatabase" localSheetId="2" hidden="1">'DPR Stage(NEW)...9.2.24'!$A$22:$F$221</definedName>
    <definedName name="prevWBS" localSheetId="3">'DPR Activity Checklist'!$A1048576</definedName>
    <definedName name="_xlnm.Print_Area" localSheetId="6">'Approval Authority .'!$A$1:$H$76</definedName>
    <definedName name="_xlnm.Print_Area" localSheetId="8">Checklist!$A$1:$AH$72</definedName>
    <definedName name="_xlnm.Print_Area" localSheetId="7">'DPR activity'!$A$1:$B$162</definedName>
    <definedName name="_xlnm.Print_Area" localSheetId="0">'DPR Stage ....Date'!$A$1:$G$203</definedName>
    <definedName name="_xlnm.Print_Area" localSheetId="2">'DPR Stage(NEW)...9.2.24'!$A$1:$F$221</definedName>
    <definedName name="_xlnm.Print_Area" localSheetId="1">Sheet1!$A$1:$C$170</definedName>
    <definedName name="_xlnm.Print_Area" localSheetId="4">'Stage Report'!$A$1:$F$18</definedName>
    <definedName name="_xlnm.Print_Titles" localSheetId="6">'Approval Authority .'!$1:$3</definedName>
    <definedName name="_xlnm.Print_Titles" localSheetId="8">Checklist!$A:$B,Checklist!$1:$2</definedName>
    <definedName name="_xlnm.Print_Titles" localSheetId="7">'DPR activity'!$1:$2</definedName>
    <definedName name="_xlnm.Print_Titles" localSheetId="3">'DPR Activity Checklist'!$A:$B,'DPR Activity Checklist'!$1:$2</definedName>
    <definedName name="_xlnm.Print_Titles" localSheetId="0">'DPR Stage ....Date'!$1:$4</definedName>
    <definedName name="_xlnm.Print_Titles" localSheetId="2">'DPR Stage(NEW)...9.2.24'!$1:$4</definedName>
    <definedName name="_xlnm.Print_Titles" localSheetId="1">Sheet1!$1:$2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21" l="1"/>
  <c r="E48" i="21"/>
  <c r="E47" i="21"/>
  <c r="E46" i="21"/>
  <c r="E45" i="21"/>
  <c r="E44" i="21"/>
  <c r="E43" i="21"/>
  <c r="E42" i="21"/>
  <c r="E41" i="21"/>
  <c r="E40" i="21"/>
  <c r="E39" i="21"/>
  <c r="E38" i="21"/>
  <c r="A5" i="21"/>
  <c r="A6" i="21" s="1"/>
  <c r="A7" i="21" l="1"/>
  <c r="A8" i="21" s="1"/>
  <c r="A24" i="21"/>
  <c r="A25" i="21" s="1"/>
  <c r="A34" i="21"/>
  <c r="A4" i="20"/>
  <c r="A4" i="19"/>
  <c r="A5" i="19" s="1"/>
  <c r="A6" i="19" s="1"/>
  <c r="A7" i="19" s="1"/>
  <c r="A8" i="19" s="1"/>
  <c r="A9" i="19" s="1"/>
  <c r="A10" i="19" s="1"/>
  <c r="A11" i="19" s="1"/>
  <c r="A12" i="19" s="1"/>
  <c r="A13" i="19" s="1"/>
  <c r="A14" i="19" s="1"/>
  <c r="A15" i="19" s="1"/>
  <c r="A16" i="19" s="1"/>
  <c r="A17" i="19" s="1"/>
  <c r="A18" i="19" s="1"/>
  <c r="A19" i="19" s="1"/>
  <c r="A20" i="19" s="1"/>
  <c r="A21" i="19" s="1"/>
  <c r="A22" i="19" s="1"/>
  <c r="A5" i="18"/>
  <c r="A6" i="18" s="1"/>
  <c r="A7" i="18" s="1"/>
  <c r="A18" i="18" s="1"/>
  <c r="A25" i="18" s="1"/>
  <c r="A43" i="18" s="1"/>
  <c r="A44" i="18" s="1"/>
  <c r="A52" i="18" s="1"/>
  <c r="A53" i="18" s="1"/>
  <c r="A35" i="21" l="1"/>
  <c r="A60" i="21"/>
  <c r="A61" i="21" s="1"/>
  <c r="A5" i="20"/>
  <c r="A23" i="19"/>
  <c r="A24" i="19" s="1"/>
  <c r="A45" i="18"/>
  <c r="A46" i="18" s="1"/>
  <c r="A47" i="18" s="1"/>
  <c r="A48" i="18" s="1"/>
  <c r="A49" i="18" s="1"/>
  <c r="A50" i="18" s="1"/>
  <c r="A51" i="18" s="1"/>
  <c r="A19" i="18"/>
  <c r="A20" i="18" s="1"/>
  <c r="A21" i="18" s="1"/>
  <c r="A26" i="18"/>
  <c r="A35" i="18" s="1"/>
  <c r="A36" i="18" s="1"/>
  <c r="A8" i="18"/>
  <c r="A17" i="18" s="1"/>
  <c r="A72" i="21" l="1"/>
  <c r="A73" i="21" s="1"/>
  <c r="A62" i="21"/>
  <c r="A58" i="21"/>
  <c r="A36" i="21"/>
  <c r="A48" i="21" s="1"/>
  <c r="A49" i="21" s="1"/>
  <c r="A50" i="21" s="1"/>
  <c r="A51" i="21" s="1"/>
  <c r="A52" i="21" s="1"/>
  <c r="A53" i="21" s="1"/>
  <c r="A54" i="21" s="1"/>
  <c r="A6" i="20"/>
  <c r="A7" i="20" s="1"/>
  <c r="A23" i="20"/>
  <c r="A33" i="20" s="1"/>
  <c r="A25" i="19"/>
  <c r="A26" i="19" s="1"/>
  <c r="A27" i="19" s="1"/>
  <c r="A28" i="19" s="1"/>
  <c r="A22" i="18"/>
  <c r="A23" i="18" s="1"/>
  <c r="A24" i="18" s="1"/>
  <c r="A27" i="18"/>
  <c r="A28" i="18" s="1"/>
  <c r="A29" i="18" s="1"/>
  <c r="A37" i="18"/>
  <c r="A9" i="18"/>
  <c r="A10" i="18" s="1"/>
  <c r="A11" i="18" s="1"/>
  <c r="A12" i="18" s="1"/>
  <c r="A61" i="15"/>
  <c r="A52" i="15"/>
  <c r="A53" i="15" s="1"/>
  <c r="A29" i="19" l="1"/>
  <c r="A30" i="19" s="1"/>
  <c r="A31" i="19" s="1"/>
  <c r="A32" i="19" s="1"/>
  <c r="A33" i="19" s="1"/>
  <c r="A34" i="19" s="1"/>
  <c r="A40" i="19" s="1"/>
  <c r="A41" i="19" s="1"/>
  <c r="A42" i="19" s="1"/>
  <c r="A43" i="19" s="1"/>
  <c r="A24" i="20"/>
  <c r="A25" i="20" s="1"/>
  <c r="A26" i="20" s="1"/>
  <c r="A59" i="20"/>
  <c r="A60" i="20" s="1"/>
  <c r="A34" i="20"/>
  <c r="A57" i="20" s="1"/>
  <c r="A13" i="18"/>
  <c r="A14" i="18" s="1"/>
  <c r="A15" i="18" s="1"/>
  <c r="A16" i="18" s="1"/>
  <c r="A30" i="18"/>
  <c r="A31" i="18" s="1"/>
  <c r="A32" i="18" s="1"/>
  <c r="A33" i="18" s="1"/>
  <c r="A34" i="18" s="1"/>
  <c r="A7" i="16"/>
  <c r="A8" i="16" s="1"/>
  <c r="A11" i="16" s="1"/>
  <c r="A12" i="16" s="1"/>
  <c r="A112" i="15"/>
  <c r="A113" i="15" s="1"/>
  <c r="A114" i="15" s="1"/>
  <c r="A115" i="15" s="1"/>
  <c r="A61" i="20" l="1"/>
  <c r="A70" i="20" s="1"/>
  <c r="A71" i="20"/>
  <c r="A72" i="20" s="1"/>
  <c r="A27" i="20"/>
  <c r="A28" i="20" s="1"/>
  <c r="A29" i="20" s="1"/>
  <c r="A30" i="20" s="1"/>
  <c r="A31" i="20" s="1"/>
  <c r="A32" i="20" s="1"/>
  <c r="A35" i="20"/>
  <c r="A44" i="19"/>
  <c r="A45" i="19" s="1"/>
  <c r="A46" i="19" s="1"/>
  <c r="A47" i="19" s="1"/>
  <c r="A48" i="19" s="1"/>
  <c r="A49" i="19" s="1"/>
  <c r="A50" i="19" s="1"/>
  <c r="A51" i="19" s="1"/>
  <c r="A52" i="19" s="1"/>
  <c r="A13" i="16"/>
  <c r="A16" i="16" s="1"/>
  <c r="A17" i="16"/>
  <c r="A103" i="15"/>
  <c r="A104" i="15" s="1"/>
  <c r="A105" i="15" s="1"/>
  <c r="A106" i="15" s="1"/>
  <c r="A107" i="15" s="1"/>
  <c r="A108" i="15" s="1"/>
  <c r="A109" i="15" s="1"/>
  <c r="A110" i="15" s="1"/>
  <c r="A62" i="15"/>
  <c r="A63" i="15" s="1"/>
  <c r="A64" i="15" s="1"/>
  <c r="A54" i="15"/>
  <c r="A55" i="15" s="1"/>
  <c r="A56" i="15" s="1"/>
  <c r="A57" i="15" s="1"/>
  <c r="A58" i="15" s="1"/>
  <c r="A59" i="15" s="1"/>
  <c r="A39" i="15"/>
  <c r="A40" i="15" s="1"/>
  <c r="A41" i="15" s="1"/>
  <c r="A42" i="15" s="1"/>
  <c r="A43" i="15" s="1"/>
  <c r="A44" i="15" s="1"/>
  <c r="A45" i="15" s="1"/>
  <c r="A46" i="15" s="1"/>
  <c r="A48" i="15" s="1"/>
  <c r="A49" i="15" s="1"/>
  <c r="A22" i="15"/>
  <c r="A23" i="15" s="1"/>
  <c r="A24" i="15" s="1"/>
  <c r="A25" i="15" s="1"/>
  <c r="A26" i="15" s="1"/>
  <c r="A27" i="15" s="1"/>
  <c r="A29" i="15" s="1"/>
  <c r="A13" i="15"/>
  <c r="A5" i="15"/>
  <c r="A62" i="20" l="1"/>
  <c r="A63" i="20" s="1"/>
  <c r="A64" i="20" s="1"/>
  <c r="A65" i="20" s="1"/>
  <c r="A66" i="20" s="1"/>
  <c r="A67" i="20" s="1"/>
  <c r="A68" i="20" s="1"/>
  <c r="A69" i="20" s="1"/>
  <c r="A53" i="19"/>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47" i="20"/>
  <c r="A48" i="20" s="1"/>
  <c r="A49" i="20" s="1"/>
  <c r="A50" i="20" s="1"/>
  <c r="A51" i="20" s="1"/>
  <c r="A52" i="20" s="1"/>
  <c r="A53" i="20" s="1"/>
  <c r="A14" i="15"/>
  <c r="A15" i="15" s="1"/>
  <c r="A16" i="15" s="1"/>
  <c r="A17" i="15" s="1"/>
  <c r="A18" i="15" s="1"/>
  <c r="A19" i="15" s="1"/>
  <c r="A6" i="15"/>
  <c r="A7" i="15" s="1"/>
  <c r="A8" i="15" s="1"/>
  <c r="A9" i="15" s="1"/>
  <c r="A10" i="15" s="1"/>
  <c r="A38" i="18"/>
  <c r="A112" i="19" l="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l="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l="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alcChain>
</file>

<file path=xl/sharedStrings.xml><?xml version="1.0" encoding="utf-8"?>
<sst xmlns="http://schemas.openxmlformats.org/spreadsheetml/2006/main" count="2243" uniqueCount="1000">
  <si>
    <t>Reconnaissance Survey</t>
  </si>
  <si>
    <t>Classified Traffic Volume count survey</t>
  </si>
  <si>
    <t>Origin &amp; Destination survey</t>
  </si>
  <si>
    <t>Axle Load Survey</t>
  </si>
  <si>
    <t>Speed-Delay Survey</t>
  </si>
  <si>
    <t>Pedestrian / Animal Cross traffic Count</t>
  </si>
  <si>
    <t>Intersection Volume Count (Turning movement survey)</t>
  </si>
  <si>
    <t>Truck Terminal survey</t>
  </si>
  <si>
    <t>Accident Analysis</t>
  </si>
  <si>
    <t>Pavement Investigation</t>
  </si>
  <si>
    <t xml:space="preserve">Subgrade Characteristics and Strength </t>
  </si>
  <si>
    <t>Sr No.</t>
  </si>
  <si>
    <t>Detail Design of Road, Pavements, Bridges and Structures.</t>
  </si>
  <si>
    <t>Pavement Design</t>
  </si>
  <si>
    <t>Design of Embankment</t>
  </si>
  <si>
    <t>Design of Bridges and Structures</t>
  </si>
  <si>
    <t>Design of Drainage system</t>
  </si>
  <si>
    <t>Traffic Safety Features, Road Furniture and Road Markings</t>
  </si>
  <si>
    <t>Arboriculture and Landscaping</t>
  </si>
  <si>
    <t>Toll Plaza</t>
  </si>
  <si>
    <t>Weighing Station, Parking Areas and Rest Areas</t>
  </si>
  <si>
    <t>Office-cum-Residential Complex for PIU</t>
  </si>
  <si>
    <t>Social Assessment</t>
  </si>
  <si>
    <t>Estimation of Quantities and Project Costs</t>
  </si>
  <si>
    <t>Viability and Financing Options</t>
  </si>
  <si>
    <t>Resettlement Action Plan (RAP)</t>
  </si>
  <si>
    <t>Technical Specifications</t>
  </si>
  <si>
    <t>Rate Analysis</t>
  </si>
  <si>
    <t>Bills of Quantities (BOQ)</t>
  </si>
  <si>
    <t>Environmental &amp; Social Impact Assessment</t>
  </si>
  <si>
    <t>Civil Work Contract Agreement</t>
  </si>
  <si>
    <t>Environmental Assessment Report including Environmental management Plan (EMP)</t>
  </si>
  <si>
    <t>Analysis of Accident data</t>
  </si>
  <si>
    <t>Traffic survey &amp; Analysis</t>
  </si>
  <si>
    <t>►</t>
  </si>
  <si>
    <t>Draft / Final LA &amp; Clearance I Report</t>
  </si>
  <si>
    <t>Draft / Final Technical Schedule</t>
  </si>
  <si>
    <t>Draft / Final LA &amp; Clearance II Report</t>
  </si>
  <si>
    <t>Main Report</t>
  </si>
  <si>
    <t>Material Report</t>
  </si>
  <si>
    <t>Submission of Main Report</t>
  </si>
  <si>
    <t>Submission of Design Report</t>
  </si>
  <si>
    <t xml:space="preserve">Cost Estimates </t>
  </si>
  <si>
    <t>Drawings</t>
  </si>
  <si>
    <t>Submission seprate volume of drawings</t>
  </si>
  <si>
    <t>Existing details along the road</t>
  </si>
  <si>
    <t xml:space="preserve">Details of Existing Utilities services </t>
  </si>
  <si>
    <t xml:space="preserve">Details of Existing Road side affeccted structures </t>
  </si>
  <si>
    <t>Details of Existing Religious structures</t>
  </si>
  <si>
    <t>--</t>
  </si>
  <si>
    <t>Preliminary land acquisition</t>
  </si>
  <si>
    <t>Alignment Drawing</t>
  </si>
  <si>
    <t>Environmental Impact Assesement</t>
  </si>
  <si>
    <t>Social Impact Assesement</t>
  </si>
  <si>
    <t>Cost Estimates (Tentative/Preliminary) (Based on Preliminary Rate analysis)</t>
  </si>
  <si>
    <t>Preparation &amp; Submission of Final Alignment Report</t>
  </si>
  <si>
    <t>Hydraulic &amp; Hydrological Investigation for proposed structures</t>
  </si>
  <si>
    <t>Geo Technical Investigation and sub soil Exploration at proposed structures</t>
  </si>
  <si>
    <t>Preparation of GAD of Proposed structures</t>
  </si>
  <si>
    <t>Annexures</t>
  </si>
  <si>
    <t>Approval of Draft Inception Report incl. QAP</t>
  </si>
  <si>
    <t>Prepration &amp; Submission of Draft Inception Report incl. QAP</t>
  </si>
  <si>
    <t>Prepration &amp; Submission of Final Inception Report incl. QAP</t>
  </si>
  <si>
    <t>Approval of Final Inception Report incl. QAP</t>
  </si>
  <si>
    <t>DETAILED PROJECT REPORT (DPR) ACTIVITY SCHEDULE</t>
  </si>
  <si>
    <t>Detailed Topographic Survey &amp; Alignment Design</t>
  </si>
  <si>
    <t>Details of Preliminary land acquisition (Area &amp; Cost of Land to be acquired)</t>
  </si>
  <si>
    <t>Approval of Draft Feasibility Report</t>
  </si>
  <si>
    <t>Prepration &amp; Submission of Final Feasibility Report</t>
  </si>
  <si>
    <t>Approval of Final Feasibility Report</t>
  </si>
  <si>
    <t>Result of Laboratory density, moisture content and CBR of Each test Pits</t>
  </si>
  <si>
    <t>Result of Grain size and Atterberg Limits of Each test Pits</t>
  </si>
  <si>
    <t>Result of In-situ density, moisture content and Field CBR of Each test Pits</t>
  </si>
  <si>
    <t>Approval of Final Alignment Report</t>
  </si>
  <si>
    <t xml:space="preserve">Activity Description </t>
  </si>
  <si>
    <t>Lisening for Appointment of CALA</t>
  </si>
  <si>
    <t xml:space="preserve">Verification of Bore details On site / Office </t>
  </si>
  <si>
    <t>Preparation &amp; Submission of Technical Schedule</t>
  </si>
  <si>
    <t>Preparation &amp; Submission of EPC Agreement / BOT Agreement / HAM Agreement</t>
  </si>
  <si>
    <t>RA Bill (On submission of Final Inception Report incl. QAP)</t>
  </si>
  <si>
    <t>RA Bill (On Submission of Final Alignment Report)</t>
  </si>
  <si>
    <t>RA Bill (On Submission of Final Feasibility Report)</t>
  </si>
  <si>
    <t>Preparation &amp; submission of Draft LA Report</t>
  </si>
  <si>
    <t>Submission of Draft DPR</t>
  </si>
  <si>
    <t>Approval of Draft DPR</t>
  </si>
  <si>
    <t>Submission of Final DPR</t>
  </si>
  <si>
    <t>Approval of Final DPR</t>
  </si>
  <si>
    <t>Submission &amp; Approval DPR</t>
  </si>
  <si>
    <t>RA Bill (On Submission of Draft DPR)</t>
  </si>
  <si>
    <t>RA Bill (On Submission of Final DPR)</t>
  </si>
  <si>
    <t>RA Bill (On Submission of Final LA Report)</t>
  </si>
  <si>
    <t>Aprroval of EPC Document incl. Technical Schedule</t>
  </si>
  <si>
    <t>RA Bill (On Aprroval of EPC Document incl. Technical Schedule)</t>
  </si>
  <si>
    <t>Joint Site Visit (PIA (MoRT&amp;H)-Public Implementing Agency  / PD (NHAI)-Project Director With DPR Consultant &amp; Client) incl. Photograph of Existing structures condition on Proposed Alignment</t>
  </si>
  <si>
    <t>Collection of Maps &amp; Collection of Land revenue records etc.</t>
  </si>
  <si>
    <t>Report given by CALA to Central Govt. (Through Proper channel) for issuance of 3D</t>
  </si>
  <si>
    <t>Publication of 3D Notification</t>
  </si>
  <si>
    <t>RA Bill (On Publication of 3D Notification)</t>
  </si>
  <si>
    <t xml:space="preserve">Preparation &amp; Submission of Final Estimated costs of land acquisition </t>
  </si>
  <si>
    <t>3(B) Notification - Power to enter for survey</t>
  </si>
  <si>
    <t>3(G) Notification -Determination of Amount payable as compensation and Call Land Holder for Account no. &amp; Land Holdindg authentication</t>
  </si>
  <si>
    <t>3(H)- Central Govt. deposite Compensation amount to CALA</t>
  </si>
  <si>
    <t>RA Bill (On Forest / Wild life Principal Approval))</t>
  </si>
  <si>
    <t>Clearnace Proposal</t>
  </si>
  <si>
    <t>RA Bill (On Submission of Clearance proposal)</t>
  </si>
  <si>
    <t>Shifting &amp; Finalization of Horizontal alignment for Minimize major demolistion of existing structure, if any</t>
  </si>
  <si>
    <t>Profile Design on Proposed new alignement</t>
  </si>
  <si>
    <t>Final Profile Design of Proposed new alignement (If FRL revised due to Design Discharge)</t>
  </si>
  <si>
    <t>Initial Composition of Pavement for CC &amp; BT roads</t>
  </si>
  <si>
    <t>Economic Analysis</t>
  </si>
  <si>
    <t>Preparation or Submission of EIRR report</t>
  </si>
  <si>
    <t>Preparation or Submission of FIRR report</t>
  </si>
  <si>
    <t>Submission of Material Report</t>
  </si>
  <si>
    <t xml:space="preserve">Workout Final FRL, Span and Type of Proposed Bridges &amp; Structures </t>
  </si>
  <si>
    <t>Finalisation of Lane Configuration and Preparation of Final TCS</t>
  </si>
  <si>
    <t>Report on Geo Technical Investigation and sub soil Exploration</t>
  </si>
  <si>
    <t>Preparation &amp; Submission of Proposed alignment layout showing Existing &amp; Proposed ROW, (Including Location of Bus bay with shelter, Truck lay bay &amp; Toll plaza)</t>
  </si>
  <si>
    <t>Topography Survey / Dron survey on Proposed Bypass &amp; Realignment / Proposed approved Alignment</t>
  </si>
  <si>
    <t>Work out Size of footing (MNB/MJB/ROB etc) &amp; Design SBC of proposed structures</t>
  </si>
  <si>
    <t>Preparation of Final DPR</t>
  </si>
  <si>
    <t xml:space="preserve">Publication of 3(a) Notification in Gazette </t>
  </si>
  <si>
    <t xml:space="preserve">Publication of 3(A) Notification in Gazette </t>
  </si>
  <si>
    <t>Preparation &amp; Verification on site for Final list of Demolisition of Existing Structures on new alignment</t>
  </si>
  <si>
    <t>Preparation layout drawing for new alignment showing Existing &amp; Proposed ROW, (Including Proposed structures, Location of Bus bay with shelter, Truck lay bay, Toll plaza, Overtaking zone, Junction improvement)</t>
  </si>
  <si>
    <t>Prepare Final list of proposed strutures (incl. Nos. &amp; Length of Bore reqd. Its Coordinate &amp; RL for geo technical investigation )</t>
  </si>
  <si>
    <t>RA Bill (On Forest / Wild life Stage-II/Final Approval))</t>
  </si>
  <si>
    <t>Reference</t>
  </si>
  <si>
    <t>IRC:SP:19</t>
  </si>
  <si>
    <t>IRC:SP:35</t>
  </si>
  <si>
    <t>-</t>
  </si>
  <si>
    <t>3.C Land Holders Represent therir case infront of  CALA within 21 Days of Publication of 3a &amp; 3A in Gazatte</t>
  </si>
  <si>
    <t>Volume</t>
  </si>
  <si>
    <t>Annexure</t>
  </si>
  <si>
    <t>Geometric Design of proposed Alignment (Horizontal &amp; Verticle)</t>
  </si>
  <si>
    <t>Status of activity</t>
  </si>
  <si>
    <t>Estimated or Actual Date of Completion</t>
  </si>
  <si>
    <t xml:space="preserve">Draft / Final Inception Report incl. QAP                                                                                       </t>
  </si>
  <si>
    <t>(Approved By: CE, PWD / CE, BRO in Consulation with RO,MoRT&amp;H)</t>
  </si>
  <si>
    <t>(Approved By: AS/ADG/CE-cordinator, MoRT&amp;H)</t>
  </si>
  <si>
    <t>Annexure-1</t>
  </si>
  <si>
    <t>Annexure-2</t>
  </si>
  <si>
    <t>Annexure-3</t>
  </si>
  <si>
    <t>Volume-2</t>
  </si>
  <si>
    <t>IRC SP:19</t>
  </si>
  <si>
    <t>IRC: 102</t>
  </si>
  <si>
    <t>IRC SP:41</t>
  </si>
  <si>
    <t>Annexure-4</t>
  </si>
  <si>
    <t>Annexure-5</t>
  </si>
  <si>
    <t>Annexure-6</t>
  </si>
  <si>
    <t>Annexure-7</t>
  </si>
  <si>
    <t>Annexure-8</t>
  </si>
  <si>
    <t>Annexure-9</t>
  </si>
  <si>
    <t>Annexure-10</t>
  </si>
  <si>
    <t>Annexure-11</t>
  </si>
  <si>
    <t>Collection of Accident data (FIR) from the Police Station</t>
  </si>
  <si>
    <t>Pavement Condition survey</t>
  </si>
  <si>
    <t>Annexure-12</t>
  </si>
  <si>
    <t>IRC SP:16</t>
  </si>
  <si>
    <t>Annexure-13</t>
  </si>
  <si>
    <t>Annexure-14</t>
  </si>
  <si>
    <t>IRC:37 &amp; 58</t>
  </si>
  <si>
    <t>Annexure-15</t>
  </si>
  <si>
    <t>IS:2720</t>
  </si>
  <si>
    <t>Annexure-16</t>
  </si>
  <si>
    <t>Inventory &amp; Condition Survey for Bridges, CD works &amp; Structures</t>
  </si>
  <si>
    <t>Summary of Inventory &amp; Condition survey for CD works</t>
  </si>
  <si>
    <t>Summary of Inventory &amp; Condition survey for Bridges</t>
  </si>
  <si>
    <t>Summary of Inventory &amp; Condition survey for Structures</t>
  </si>
  <si>
    <t>Annexure-18</t>
  </si>
  <si>
    <t>Annexure-19</t>
  </si>
  <si>
    <t>Annexure-20</t>
  </si>
  <si>
    <t>Annexure-21</t>
  </si>
  <si>
    <t>Collection of Exisitng CD Structure, Bridges &amp; Structures details (e.g. Types, Size, Span etc..)</t>
  </si>
  <si>
    <t xml:space="preserve">Reconnaissance Survey </t>
  </si>
  <si>
    <t>Pavement Structural Strenth (BBD / FWD)</t>
  </si>
  <si>
    <t>Existing Pavement Composition &amp; Existing Pavement Condition</t>
  </si>
  <si>
    <t>Collection of Soil Sample by Digging test Pits adjacent to road along the Existing road</t>
  </si>
  <si>
    <r>
      <t xml:space="preserve">Collection &amp; Testing of Various materials </t>
    </r>
    <r>
      <rPr>
        <sz val="11"/>
        <color theme="1"/>
        <rFont val="Times New Roman"/>
        <family val="1"/>
      </rPr>
      <t xml:space="preserve">(e.g. Cement, Steel, Aggregates, Bitumen) </t>
    </r>
    <r>
      <rPr>
        <sz val="12"/>
        <color theme="1"/>
        <rFont val="Times New Roman"/>
        <family val="1"/>
      </rPr>
      <t>&amp; Borrow area soil</t>
    </r>
  </si>
  <si>
    <t>Taking Longitudinal and Cross sections of existing road and Collection of Existing Utilities details and Road side affeccted structures etc.</t>
  </si>
  <si>
    <t>Executive summary &amp; Introduction</t>
  </si>
  <si>
    <t>Socio Economic Profile</t>
  </si>
  <si>
    <t>Existing alignment &amp; Proposed provision of Roads &amp; Structures</t>
  </si>
  <si>
    <t>Summary of Traffic survey &amp; Analysis</t>
  </si>
  <si>
    <t>Summary of Site Investigation</t>
  </si>
  <si>
    <t>Cost estimate of Main Road, Service road, Protection walls, Toll Plaza, Traffic signs &amp; Safety measures, Bridges, Culvert &amp; Structures</t>
  </si>
  <si>
    <t>IRC SP:30-2009</t>
  </si>
  <si>
    <t>Financial Analysis (On base of The Gazette of India : Extraordinary (Regd. No. 33004/99))</t>
  </si>
  <si>
    <t>Volume-1</t>
  </si>
  <si>
    <t>Volume-3</t>
  </si>
  <si>
    <t>Subnission &amp; Approval</t>
  </si>
  <si>
    <t>Submission &amp; Approval</t>
  </si>
  <si>
    <t>Submission of Draft Feasibility Report</t>
  </si>
  <si>
    <t>Comments from Concern approval authority &amp; Its Compliance, if any</t>
  </si>
  <si>
    <t>Approval of Alignment from Concern Authority</t>
  </si>
  <si>
    <t xml:space="preserve">Comments from Concern approval authority &amp; Its Compliance, if any </t>
  </si>
  <si>
    <t>Presentations infront of Concern Approval Authority for Alignment Approval</t>
  </si>
  <si>
    <t>Approval of Proposed Alignment</t>
  </si>
  <si>
    <t>Detailed Project Report (DPR)</t>
  </si>
  <si>
    <t>Reconnaissance Survey &amp; Miscellaneous Activities</t>
  </si>
  <si>
    <t>Report Preparation</t>
  </si>
  <si>
    <t>Volume - 1</t>
  </si>
  <si>
    <t>Volume - 2</t>
  </si>
  <si>
    <t>Volume - 3</t>
  </si>
  <si>
    <t>Volume - 4</t>
  </si>
  <si>
    <t>Volume - 5</t>
  </si>
  <si>
    <t>Volume - 6</t>
  </si>
  <si>
    <t xml:space="preserve">Collection of Reserved Forest Survey nos. and Protected Forest Chainage from concern DCF office </t>
  </si>
  <si>
    <t>Data Collections</t>
  </si>
  <si>
    <t>Approval of Estimated costs of Land acquisition</t>
  </si>
  <si>
    <t>Submission</t>
  </si>
  <si>
    <t>Online applications</t>
  </si>
  <si>
    <t>Submission of Forest Proposal to Concern DCF office</t>
  </si>
  <si>
    <t>Land Acquisition</t>
  </si>
  <si>
    <t xml:space="preserve">Forest / Wild life Clearance / CRZ / ESZ / EFZ </t>
  </si>
  <si>
    <t>GAD Approval (From Railway)</t>
  </si>
  <si>
    <t>Irrigation Department, Electricity Department. and any other concerned agencies</t>
  </si>
  <si>
    <t>Final approval of project related clearance.</t>
  </si>
  <si>
    <r>
      <t>Submission of</t>
    </r>
    <r>
      <rPr>
        <b/>
        <sz val="12"/>
        <color theme="1"/>
        <rFont val="Times New Roman"/>
        <family val="1"/>
      </rPr>
      <t xml:space="preserve"> Clearacne Report </t>
    </r>
    <r>
      <rPr>
        <sz val="12"/>
        <color theme="1"/>
        <rFont val="Times New Roman"/>
        <family val="1"/>
      </rPr>
      <t>(Environment, Forest Department, Wild life, CRZ, Railways in respect of ROB/ RUBs, Irrigation Department, Electricity Department. and any other concerned agencies) with final approval for project related clearance.</t>
    </r>
  </si>
  <si>
    <t xml:space="preserve">Final approval of GAD from CBE Mumbai </t>
  </si>
  <si>
    <t>Draft Feasibility Report</t>
  </si>
  <si>
    <t>Final Alignment Report / Final Feasibility Report</t>
  </si>
  <si>
    <t>Approval of Draft LA Report</t>
  </si>
  <si>
    <t>Preparation &amp; Submission of Final LA report incl. Gazette Notification of 3a, 3A &amp; 3D</t>
  </si>
  <si>
    <t>Retention to be released after 3 years</t>
  </si>
  <si>
    <t>Forest / Wild life Clearance Stage-I Approval (Principal Approval from RO(HQ) New Delhi)</t>
  </si>
  <si>
    <t>Forest / Wild life Clearance Stage-II Approval (Final Approval from MoEFCC Head office, New Delhi)</t>
  </si>
  <si>
    <t>Application for Removal of Trees at Division Level</t>
  </si>
  <si>
    <t>Apply for obtaining the Demand Note for NPV.</t>
  </si>
  <si>
    <t>Processing for  Payment of NPV by User Agency.</t>
  </si>
  <si>
    <t>To prepare compliance report and submit to concern DCF.</t>
  </si>
  <si>
    <t>Persual for obtaining Working Permission</t>
  </si>
  <si>
    <t>Submission of Compliance Report to CCF.</t>
  </si>
  <si>
    <t>Submission of compliance report to Nodal Officer.</t>
  </si>
  <si>
    <t>Submission of compliance report to PCCF.</t>
  </si>
  <si>
    <t>Submission of compliance report to Secretary-F&amp;ED.</t>
  </si>
  <si>
    <t>Submission of compliance report to Regional Office/MoEF</t>
  </si>
  <si>
    <r>
      <rPr>
        <sz val="11"/>
        <rFont val="Trebuchet MS"/>
        <family val="2"/>
      </rPr>
      <t xml:space="preserve">Application to Obtain Government Notification. </t>
    </r>
    <r>
      <rPr>
        <b/>
        <sz val="11"/>
        <rFont val="Trebuchet MS"/>
        <family val="2"/>
      </rPr>
      <t>(Memorandum)</t>
    </r>
  </si>
  <si>
    <t>Demand Note for payment of NPV and compliance report</t>
  </si>
  <si>
    <t>Perusal for final Permission at Regional Office (Stage-II Approval &amp; Memorandum)</t>
  </si>
  <si>
    <t>To apply to get Demand Note for C.A. Scheme for double degraded forest area or to hand over land bank to Forest Department and to get C.A. Scheme to pay to Forest Department.</t>
  </si>
  <si>
    <t>Collection of Exisitng Road details e.g. CW width Details,  Builtup areas Detail, Junctions details (e.g. Types, Width, Category etc..)</t>
  </si>
  <si>
    <t>Inventory &amp; Condition Survey for Existing Bridges, Culverts &amp; Structures</t>
  </si>
  <si>
    <t>Existing Road Inventory &amp; Pavement Condition Survey</t>
  </si>
  <si>
    <t>Inventory for Existing Pavement composition</t>
  </si>
  <si>
    <t xml:space="preserve">Preparation of Final Pavement design report </t>
  </si>
  <si>
    <t>Pavement Roughness (BI/NSV)</t>
  </si>
  <si>
    <t>Submission of Estimated Cost of Land Acquisition</t>
  </si>
  <si>
    <t>FRA Certificate</t>
  </si>
  <si>
    <t xml:space="preserve">Submission of proposal for FRA clearance </t>
  </si>
  <si>
    <t>Traffic surveys &amp; Analysis (TVC/ATCC, OD survey, Axle load, Turning movement, Speed-Delay etc..)</t>
  </si>
  <si>
    <t>Pavement Design Report</t>
  </si>
  <si>
    <t>Surveys at Site</t>
  </si>
  <si>
    <t>Walkthrough on proposed new greenfield alignment/Bypass/Realignment</t>
  </si>
  <si>
    <t>Detailed Design</t>
  </si>
  <si>
    <t>Collection of Soil Sample by Digging test Pits along road alignment (For In-situ physical properties, Laboratory physical properties, Chemical Properties etc)</t>
  </si>
  <si>
    <t>Alignment Options Report</t>
  </si>
  <si>
    <t>Collection from field / Data Preparation</t>
  </si>
  <si>
    <t>Detailed Topography Survey / Dron survey on approved Bypass/Realignment /Proposed approved Alignment</t>
  </si>
  <si>
    <t>Lane Configurations Sheet</t>
  </si>
  <si>
    <t>Structure list</t>
  </si>
  <si>
    <t>DPR Data Sheets Preparaion (For Final Approved Alignment)</t>
  </si>
  <si>
    <t>Bus Bay &amp; Truck Lay Bye List</t>
  </si>
  <si>
    <t xml:space="preserve">Village Boundary List </t>
  </si>
  <si>
    <t>Junction List with improvement details</t>
  </si>
  <si>
    <t>Terrain &amp; Builtup areas list</t>
  </si>
  <si>
    <t>Alignment Approval by authority</t>
  </si>
  <si>
    <t>Geotechnical Investigation Report</t>
  </si>
  <si>
    <t>Design Base Report - Structures / Final road Alignment / Drain</t>
  </si>
  <si>
    <t>Hydraulic Design report - Structures / Road Side Drain (Earthen  &amp; RCC )</t>
  </si>
  <si>
    <t>Project Management</t>
  </si>
  <si>
    <t>Establish Team for Preparing DPR &amp; Invites other Dept. heads for meeting &amp; Discussions</t>
  </si>
  <si>
    <t xml:space="preserve">Fix Rolls &amp; Responsibility and prepare schedule of execution </t>
  </si>
  <si>
    <t>Action plan to accelerate activities which was delay from schedule &amp; Relieving measures to kept project on track</t>
  </si>
  <si>
    <t>Monthly Progress report</t>
  </si>
  <si>
    <t>Socio Economic impact Study</t>
  </si>
  <si>
    <t>Financial Internal Rate of Return (FIRR) report</t>
  </si>
  <si>
    <t>Cost Estimate with Rate Analysis</t>
  </si>
  <si>
    <t>Detailed Bills of Quantities (BOQ) with rate analysis</t>
  </si>
  <si>
    <t>Checklist (DPR Projects)</t>
  </si>
  <si>
    <t>Fixing of Boundary pillar for PROW marking &amp; Centre line marking</t>
  </si>
  <si>
    <t>Joint measurement survey with DILR officials</t>
  </si>
  <si>
    <t>Appointment of Govt. valuer for Valuation of existing residential structure /Well etc need to be demolish</t>
  </si>
  <si>
    <t>Normative Cost</t>
  </si>
  <si>
    <t>Life cycle cost analysis</t>
  </si>
  <si>
    <t>Approval from Authority</t>
  </si>
  <si>
    <t>Report Preparation &amp; Submissions</t>
  </si>
  <si>
    <t>Draft / Final Inception Report &amp; QAP</t>
  </si>
  <si>
    <t>Draft / Final Feasibility Report</t>
  </si>
  <si>
    <t>Final Alignment Report</t>
  </si>
  <si>
    <t>Draft Inception Report &amp; QAP</t>
  </si>
  <si>
    <t>Final Inception Report &amp; QAP</t>
  </si>
  <si>
    <t>Final Feasibility Report</t>
  </si>
  <si>
    <t>Existing &amp; Proposed Final ROW List</t>
  </si>
  <si>
    <t>Typical Cross section Design &amp; Drawings</t>
  </si>
  <si>
    <t>Utility relocation plan incl. Details of properties / Utilities</t>
  </si>
  <si>
    <t>Utilities shifting proposals to all user agencies</t>
  </si>
  <si>
    <t xml:space="preserve">Joint Measurement survey with utilities user agencies </t>
  </si>
  <si>
    <t>Draft LA &amp; Clearance I Report</t>
  </si>
  <si>
    <t>Final LA &amp; Clearance I Report</t>
  </si>
  <si>
    <t>Valuations of structures need to be demolish</t>
  </si>
  <si>
    <t>Joint Measurement survey with Govt. Valuer for valuation of demolish structures</t>
  </si>
  <si>
    <t>Collection of utility shifting estimates/Quotations from all user agencies</t>
  </si>
  <si>
    <t>Clearances</t>
  </si>
  <si>
    <t xml:space="preserve">Estimated cost of land acquisition </t>
  </si>
  <si>
    <t>Joint Site Visit with Concern Forest officials of Reserved forest for Punchnama of the proposed diversion &amp; marking kharda of trees to be cut.</t>
  </si>
  <si>
    <t>Joint Site Visit with Concern Forest officials of Protected forest for Punchnama of the proposed diversion &amp; marking kharda of trees to be cut.</t>
  </si>
  <si>
    <t>Submission of Proposal in Physical file by user agency to Concern DCF, Division office</t>
  </si>
  <si>
    <t>Submission of Online proposal by user agency to Concern DCF, Division office (Form-A, Part-1)</t>
  </si>
  <si>
    <t>Submission of field visit report with Punchnama &amp; Marking Kharda by RFO in DCF, Division office</t>
  </si>
  <si>
    <t>Submission of Online proposal &amp; Physical files by DCF to concern CCF,circle office (Form-A, Part-2)</t>
  </si>
  <si>
    <t>Submission of Online proposal &amp; Physical files by CCF to Nodal office (APCCF) (Form-A, Part-3)</t>
  </si>
  <si>
    <t>Submission of Online proposal &amp; Physical files by Nodal office (APCCF) to Secretary-(F&amp;ED) (Form-A, Part-4)</t>
  </si>
  <si>
    <t>Submission of Physical files to PCCF(HoFF)</t>
  </si>
  <si>
    <t>Submission of Physical files to Hon’ble. MoS and Hon’ble Cabinet Minister</t>
  </si>
  <si>
    <t>Principle Approval by APCCF-Regional Office, Western Zone-Bhopal (&lt;40 Ha.) / RO (HQ) new Delhi</t>
  </si>
  <si>
    <t>Online submission of Proposals and submission of physical file to RO (HQ) new Delhi</t>
  </si>
  <si>
    <t>Online submission of Proposals and submission of physical file to APCCF-Regional Office, Western Zone-Bhopal</t>
  </si>
  <si>
    <t>Pursue Regional Office/MoEF for getting final approval.</t>
  </si>
  <si>
    <t>Submission of PF/RF proposal to collector</t>
  </si>
  <si>
    <t>Submission of PF/RF proposal from collector to SDM</t>
  </si>
  <si>
    <t>Submission of PF/RF proposal from SDM to Prayojna Vahivatdar office</t>
  </si>
  <si>
    <t>Approval of of PF/RF proposal &amp; Recommendation for issue FRA Certificate from Prayojna Vahivatdar office to SDM</t>
  </si>
  <si>
    <t>Approval of of PF/RF proposal &amp; Recommendation for issue FRA Certificate from SDM to Collector</t>
  </si>
  <si>
    <t>Issue FRA Certificate of PF/RF by Collector</t>
  </si>
  <si>
    <t xml:space="preserve">Final approval of GAD of ROB from CBE Mumbai </t>
  </si>
  <si>
    <t>NOC from concern Irrigation department</t>
  </si>
  <si>
    <t>Other Clearances, if any</t>
  </si>
  <si>
    <t>NOC from concern Wild life department</t>
  </si>
  <si>
    <t>NOC from concern Archeology department</t>
  </si>
  <si>
    <t>Forest Clearances</t>
  </si>
  <si>
    <t>Award of Project (Receiving LOA)</t>
  </si>
  <si>
    <t>Letter for work execution (Receiving Work order)</t>
  </si>
  <si>
    <t>Submission of Performance security / BG</t>
  </si>
  <si>
    <t>Collection of Reserved Forest Survey nos. and Protected Forest Chainage from concern DCF office / collect government notifications declaring forest land as PF/RF and its maps.</t>
  </si>
  <si>
    <t>Joint Measurement survey with DILR officials for forest clearance</t>
  </si>
  <si>
    <t>Bid documents and civil works contract agreement along with technical schedules</t>
  </si>
  <si>
    <t>Utility shifting estimates</t>
  </si>
  <si>
    <t>Draft Detailed Project Report (DPR)</t>
  </si>
  <si>
    <t>Final Detailed Project Report (DPR)</t>
  </si>
  <si>
    <t>Draft / Final Detailed Project Report (DPR)</t>
  </si>
  <si>
    <t>Draft Geometric Design of a proposed alignment (Plan &amp; Profile Drawings)</t>
  </si>
  <si>
    <t>Final Geometric Design of a proposed alignment (Plan &amp; Profile Drawings)</t>
  </si>
  <si>
    <t>Protection work Design &amp; Drawings (Toe wall /Retaining Wall / Brest wall / RE wall etc..)</t>
  </si>
  <si>
    <t>Arboriculture and Landscaping Design &amp; Drawings</t>
  </si>
  <si>
    <t>Toll Plaza Design Design &amp; Drawings(Incl.Weighing Station, Parking Areas etc.)</t>
  </si>
  <si>
    <t>Rest Area Design &amp; Drawings</t>
  </si>
  <si>
    <t>Bus Bay, Truck Lay Bye  Pedestrian crossing etc design  &amp; Drawings</t>
  </si>
  <si>
    <t>Socio Economic impact Study including Resettlement Action Plan (RAP)</t>
  </si>
  <si>
    <t>Exisitng Road Inventory survey as per IRC:SP:19</t>
  </si>
  <si>
    <t>Geo-technical and sub soil Exploration at Existing/proposed structures as per IRC:78</t>
  </si>
  <si>
    <t>Exisitng Chainage wise Pavement condition/Composition survey as per IRC:SP:19</t>
  </si>
  <si>
    <t>Videography of entire highway stretch</t>
  </si>
  <si>
    <t>Existing Pavement Structural Strenth (BBD / FWD) IRC:81</t>
  </si>
  <si>
    <t>Existing Pavement Roughness Tests IRC:SP:16</t>
  </si>
  <si>
    <t>Draft LA &amp; Clearance II Report</t>
  </si>
  <si>
    <t>Final LA &amp; Clearance II Report</t>
  </si>
  <si>
    <t>Land acquisition report (incl.LA/Strip Plan, 3(a) &amp; 3(A) Notifications/Publications)</t>
  </si>
  <si>
    <t>Land acquisition report (incl. 3(D) Notifications/Publications)</t>
  </si>
  <si>
    <t>Land Award report (Completion of award declaration (3G) for 90% of land parcels identified in LA II report)</t>
  </si>
  <si>
    <t>Land Possession report Receipt of land possession certificates (3E) for 90% of all land parcels identified in LA II report)</t>
  </si>
  <si>
    <t>Approval of Environment Clearance (EC)</t>
  </si>
  <si>
    <t>NOC from concern NHAI/R&amp;B/NHIDCL/PWD etc.</t>
  </si>
  <si>
    <t>Clearacne Report (Environment, Forest Department, Wild life, CRZ, Railways in respect of ROB/ RUBs, Irrigation Department, Electricity Department. and any other concerned agencies) with final approval for project related clearance</t>
  </si>
  <si>
    <t>Detailed Topographic Survey (Existing alignment) Using LiDAR or better technology</t>
  </si>
  <si>
    <t>Hydraulic &amp; Hydrological Investigation for proposed structures as per IRC:SP:13 &amp; IRC:5</t>
  </si>
  <si>
    <t>Ground Penetrating Radar (GPR) Survey for detection of sub-surface utilities</t>
  </si>
  <si>
    <t>Technical Note</t>
  </si>
  <si>
    <t>Collection of Various materials (e.g. Cement, Steel, Aggregates, Bitumen, Emulsion, Borrow area soil, Water sample etc)</t>
  </si>
  <si>
    <t>Analysis on Pedestrian / Animal flow characteristics</t>
  </si>
  <si>
    <t>Origin &amp; Destination survey (Passengers &amp; Goods trips)</t>
  </si>
  <si>
    <t>Intersections, Grade separators &amp; Interchanges with ramps</t>
  </si>
  <si>
    <t>Roadside Drain Design &amp; Drawings (RCC / Earthen)</t>
  </si>
  <si>
    <t xml:space="preserve">Road Safety Furniture Drawings incl. Road Signs, Pavement marking, Safety barrier, Railings, Delineators, Chevron markings, Traffic attenuators, Crash barriers, overhead signs etc </t>
  </si>
  <si>
    <t>Traffic Surveys Analysis &amp; Report</t>
  </si>
  <si>
    <t>Accident Analysis Report (Identification of black spots on project stretch)</t>
  </si>
  <si>
    <t>Environmental Impact Assesement Study (Land, Air, Water resources, Noise &amp; Biological envirnmental details / impact / mitigation measures ) including Environmental management Plan</t>
  </si>
  <si>
    <t>Inventory &amp; Condition Survey for Exisitng CD Structure, Bridges, Structures as per IRC:SP:35</t>
  </si>
  <si>
    <t>Economical Internal Rate of Return (EIRR) report as per IRC:SP:30</t>
  </si>
  <si>
    <t>Public Consulation including consultation with Communities located along the road, NGOs working in the area &amp; other stake-holders</t>
  </si>
  <si>
    <t>Alignment Options study with merits &amp; demerits</t>
  </si>
  <si>
    <t>Environmental Assesement Report</t>
  </si>
  <si>
    <t>Protected Forest Clearances</t>
  </si>
  <si>
    <t>Reserved  Forest Clearances</t>
  </si>
  <si>
    <t>Draft / Final LA &amp; Clearance III Report</t>
  </si>
  <si>
    <t>Land Possession report Receipt of land possession certificates (3E) for 90% of all land parcels identified in LA III report)</t>
  </si>
  <si>
    <t>Draft / Final LA &amp; Clearance II, III &amp; IV Report</t>
  </si>
  <si>
    <t>Draft / Final LA &amp; Clearance IV Report</t>
  </si>
  <si>
    <t>LA III Report</t>
  </si>
  <si>
    <t>LA IV Report</t>
  </si>
  <si>
    <t>1. Project Management</t>
  </si>
  <si>
    <t xml:space="preserve">2. Reconnaissance Survey </t>
  </si>
  <si>
    <t>3. Collection from field / Data Preparation</t>
  </si>
  <si>
    <t>4. Surveys at Site</t>
  </si>
  <si>
    <t>5. Detailed Design</t>
  </si>
  <si>
    <t>6. Report Preparation &amp; Submissions</t>
  </si>
  <si>
    <t>7. Approval from Authority</t>
  </si>
  <si>
    <t>8. Clearances</t>
  </si>
  <si>
    <t>Lane Configurations Sheet , Structure list, Existing &amp; Proposed Final ROW List, Village Boundary List, Bus Bay &amp; Truck Lay Bye List, Terrain &amp; Builtup areas list, Junction List with improvement details etc</t>
  </si>
  <si>
    <t>FRA Certificate (Reserved &amp; Protected Forest)</t>
  </si>
  <si>
    <t>*</t>
  </si>
  <si>
    <t>Time limit Extenstion and Excess approval, if any.</t>
  </si>
  <si>
    <t xml:space="preserve">Bid documents (RFP) and civil works contract agreement along with technical schedules (EPC/HAM) </t>
  </si>
  <si>
    <r>
      <t xml:space="preserve">Draft Inception Report &amp; QAP </t>
    </r>
    <r>
      <rPr>
        <sz val="10"/>
        <color theme="1"/>
        <rFont val="Trebuchet MS"/>
        <family val="2"/>
      </rPr>
      <t>(Approved By: CE, PWD / CE, BRO in Consulation with RO,MoRT&amp;H)</t>
    </r>
  </si>
  <si>
    <r>
      <t xml:space="preserve">Draft Feasibility Report </t>
    </r>
    <r>
      <rPr>
        <sz val="10"/>
        <color theme="1"/>
        <rFont val="Trebuchet MS"/>
        <family val="2"/>
      </rPr>
      <t>(Approved By: AS/ADG/CE-cordinator, MoRT&amp;H)</t>
    </r>
  </si>
  <si>
    <r>
      <t>Draft Detailed Project Report (DPR)</t>
    </r>
    <r>
      <rPr>
        <sz val="10"/>
        <color theme="1"/>
        <rFont val="Trebuchet MS"/>
        <family val="2"/>
      </rPr>
      <t xml:space="preserve"> (Approved By: AS/ADG/CE-cordinator, MoRT&amp;H)</t>
    </r>
  </si>
  <si>
    <r>
      <t xml:space="preserve">Bid documents and civil works contract agreement along with technical schedules
</t>
    </r>
    <r>
      <rPr>
        <sz val="10"/>
        <color theme="1"/>
        <rFont val="Trebuchet MS"/>
        <family val="2"/>
      </rPr>
      <t>(Approved By: CE, PWD / CE, BRO in Consulation with RO,MoRT&amp;H)</t>
    </r>
  </si>
  <si>
    <t>IRC:81 / IRC:115 &amp; 117</t>
  </si>
  <si>
    <t>CE, PWD / CE, BRO in Consulation with RO,MoRT&amp;H</t>
  </si>
  <si>
    <t>AS/ADG/CE-cordinator, MoRT&amp;H</t>
  </si>
  <si>
    <t>Feasibility Report including alignment option study</t>
  </si>
  <si>
    <t>LA &amp; Clearance I Report</t>
  </si>
  <si>
    <t>Report</t>
  </si>
  <si>
    <t>Approved by</t>
  </si>
  <si>
    <t>Remark</t>
  </si>
  <si>
    <t>LA &amp; Clearance II Report</t>
  </si>
  <si>
    <t>Land Possession Report  / LA &amp; Clearance IV Report</t>
  </si>
  <si>
    <t>Award Determination Report /  LA &amp; Clearance III Report</t>
  </si>
  <si>
    <t>Monthly Progress Report (MPR)</t>
  </si>
  <si>
    <r>
      <t xml:space="preserve">LA &amp; Clearance I Report </t>
    </r>
    <r>
      <rPr>
        <sz val="10"/>
        <color theme="1"/>
        <rFont val="Trebuchet MS"/>
        <family val="2"/>
      </rPr>
      <t>(Approved By: CE, PWD / CE, BRO in Consulation with RO,MoRT&amp;H)</t>
    </r>
  </si>
  <si>
    <r>
      <t xml:space="preserve">LA &amp; Clearance II Report </t>
    </r>
    <r>
      <rPr>
        <sz val="10"/>
        <color theme="1"/>
        <rFont val="Trebuchet MS"/>
        <family val="2"/>
      </rPr>
      <t>(Approved By: CE, PWD / CE, BRO in Consulation with RO,MoRT&amp;H)</t>
    </r>
  </si>
  <si>
    <r>
      <t xml:space="preserve">LA &amp; Clearance III Report </t>
    </r>
    <r>
      <rPr>
        <sz val="10"/>
        <color theme="1"/>
        <rFont val="Trebuchet MS"/>
        <family val="2"/>
      </rPr>
      <t>(Approved By: CE, PWD / CE, BRO in Consulation with RO,MoRT&amp;H)</t>
    </r>
  </si>
  <si>
    <r>
      <t xml:space="preserve">LA &amp; Clearance IV Report </t>
    </r>
    <r>
      <rPr>
        <sz val="10"/>
        <color theme="1"/>
        <rFont val="Trebuchet MS"/>
        <family val="2"/>
      </rPr>
      <t>(Approved By: CE, PWD / CE, BRO in Consulation with RO,MoRT&amp;H)</t>
    </r>
  </si>
  <si>
    <r>
      <t xml:space="preserve">Alignment Approval </t>
    </r>
    <r>
      <rPr>
        <sz val="10"/>
        <color theme="1"/>
        <rFont val="Trebuchet MS"/>
        <family val="2"/>
      </rPr>
      <t>(Approved By: AS/ADG/CE-cordinator, MoRT&amp;H)</t>
    </r>
  </si>
  <si>
    <r>
      <t xml:space="preserve">Environment/Forest/Wild life/ Utility/ Railway/ Irrigation /Other concerned Dept. clearances </t>
    </r>
    <r>
      <rPr>
        <b/>
        <sz val="11"/>
        <color theme="1"/>
        <rFont val="Trebuchet MS"/>
        <family val="2"/>
      </rPr>
      <t>Approval details</t>
    </r>
    <r>
      <rPr>
        <sz val="11"/>
        <color theme="1"/>
        <rFont val="Trebuchet MS"/>
        <family val="2"/>
      </rPr>
      <t xml:space="preserve"> including Land acquisition 3a &amp; 3A Gazette Notifications (or Section-11) &amp; 3D Gazette Notifications (or Section-19))</t>
    </r>
  </si>
  <si>
    <t>LA/Strip Plan</t>
  </si>
  <si>
    <t>NOC from concern CRZ</t>
  </si>
  <si>
    <t>Utility shifting estimate / Quotation</t>
  </si>
  <si>
    <t>Submission of Item wise Techincal Specification</t>
  </si>
  <si>
    <t>Alignment Options Report / Final Alignment report</t>
  </si>
  <si>
    <t>Final GAD approval of ROB from concern Chief Bridge Engineer (Railway)</t>
  </si>
  <si>
    <t>NOC from concern NHAI/R&amp;B/NHIDCL/PWD/BRO etc.</t>
  </si>
  <si>
    <t>3(E)- Power to take possesion
Within 60Days of Issuance of 3(E) Land owner deliver possession of land to CALA</t>
  </si>
  <si>
    <t>Existing Pavement Structural Strenth using FWD as per IRC:115 (Flexible) &amp; IRC:117 (Rigid)</t>
  </si>
  <si>
    <t>Detailed Topographic Survey on approved alignment Using DGPS &amp; Total Station / Drone LiDAR or better technology</t>
  </si>
  <si>
    <t>Detailed Activity Checklist for DPR Projects</t>
  </si>
  <si>
    <t>Stage</t>
  </si>
  <si>
    <t>Walkthrough on proposed new greenfield alignment/Bypass/Realignment/Existing alignment</t>
  </si>
  <si>
    <t>Signing the Tender Agreement</t>
  </si>
  <si>
    <t>Collection of Accident data (FIR) from the Police Station / Black spot locations</t>
  </si>
  <si>
    <t>Submission of Performance security / Bank Guarantee</t>
  </si>
  <si>
    <t>Monthly Progress report (By 5th of Every Month)</t>
  </si>
  <si>
    <t>Collection of Maps &amp; Land revenue records etc.</t>
  </si>
  <si>
    <t>Existing Pavement Roughness Tests IRC:SP:16 / Roughness using Laser Profilometer by NSV</t>
  </si>
  <si>
    <t xml:space="preserve">Joint Measurement survey with utilities owning agencies (Govt.) </t>
  </si>
  <si>
    <r>
      <t xml:space="preserve">LAQ/ Utility/ Environment/Forest/Wild life/CRZ/ Railway/Irrigation/Other concerned Dept. clearance </t>
    </r>
    <r>
      <rPr>
        <b/>
        <sz val="11"/>
        <color theme="1"/>
        <rFont val="Trebuchet MS"/>
        <family val="2"/>
      </rPr>
      <t>Necessity, identifications and relevant details</t>
    </r>
    <r>
      <rPr>
        <sz val="11"/>
        <color theme="1"/>
        <rFont val="Trebuchet MS"/>
        <family val="2"/>
      </rPr>
      <t xml:space="preserve"> including Land acquisition 3a &amp; 3A Draft Notifications (or Section-11)</t>
    </r>
  </si>
  <si>
    <t>IRC:98</t>
  </si>
  <si>
    <r>
      <t xml:space="preserve">Preparation  &amp; Submission of of </t>
    </r>
    <r>
      <rPr>
        <b/>
        <sz val="12"/>
        <color theme="1"/>
        <rFont val="Times New Roman"/>
        <family val="1"/>
      </rPr>
      <t>Clearance proposals</t>
    </r>
    <r>
      <rPr>
        <sz val="12"/>
        <color theme="1"/>
        <rFont val="Times New Roman"/>
        <family val="1"/>
      </rPr>
      <t xml:space="preserve"> for which we seeks approvals (e.g. Utilities, Forest, WL, EFZ, ESZ, CRZ, ENV, Railway, irrigation &amp; Other Dept. etc....)</t>
    </r>
  </si>
  <si>
    <t>Cost of Utility Shifting</t>
  </si>
  <si>
    <t>Preparation &amp; Submission of Strip Plan / LA Plan</t>
  </si>
  <si>
    <t xml:space="preserve">Preparation &amp; Submission of Utility relocation plan </t>
  </si>
  <si>
    <t>Preparation &amp; Submission of LA &amp; Clearance I Report</t>
  </si>
  <si>
    <t>Approval of LA &amp; Clearance I Report</t>
  </si>
  <si>
    <t>Comments from Concern approval authority &amp; Its Compliance, if any on Draft Feasibility Report</t>
  </si>
  <si>
    <t>Submission of Final Feasibility Report</t>
  </si>
  <si>
    <t>Draft / Final Feasibility Report (Incl. Alignment Option / Final Alignment report)</t>
  </si>
  <si>
    <t>Detailed Topographic Survey</t>
  </si>
  <si>
    <t>Exisitng Pavement condition/Composition survey as per IRC:SP:19</t>
  </si>
  <si>
    <t>Detailed Project Report / PMC  Report Submission and Approval Authority</t>
  </si>
  <si>
    <t>Inventory for Exisitng CD Structure, Bridges, Structures as per IRC:SP:35</t>
  </si>
  <si>
    <t>Condition Survey for Exisitng CD Structure, Bridges, Structures as per IRC:SP:35</t>
  </si>
  <si>
    <t xml:space="preserve">Existing Road Inventory </t>
  </si>
  <si>
    <t>Geometric Design for various Alignment options</t>
  </si>
  <si>
    <t>Submission of Alignment Option Report</t>
  </si>
  <si>
    <t>Submission of Final Alignment Report</t>
  </si>
  <si>
    <t>Public Consulation including consultation with Communities, NGOs working in the area &amp; other stake-holders</t>
  </si>
  <si>
    <t>% Payment Schedule</t>
  </si>
  <si>
    <t>Aftrer 3 year from work start &amp; Project COD whichever is earlier</t>
  </si>
  <si>
    <t>Follow DPR checklist-Feb-24 Stage-1
(Pavement / Structure)</t>
  </si>
  <si>
    <r>
      <rPr>
        <b/>
        <u/>
        <sz val="12"/>
        <color theme="1"/>
        <rFont val="Trebuchet MS"/>
        <family val="2"/>
      </rPr>
      <t>Alignment option report</t>
    </r>
    <r>
      <rPr>
        <sz val="12"/>
        <color theme="1"/>
        <rFont val="Trebuchet MS"/>
        <family val="2"/>
      </rPr>
      <t xml:space="preserve"> may be submit some time seperately </t>
    </r>
    <r>
      <rPr>
        <sz val="9"/>
        <color theme="1"/>
        <rFont val="Trebuchet MS"/>
        <family val="2"/>
      </rPr>
      <t>(Point-16)</t>
    </r>
    <r>
      <rPr>
        <sz val="12"/>
        <color theme="1"/>
        <rFont val="Trebuchet MS"/>
        <family val="2"/>
      </rPr>
      <t xml:space="preserve">
</t>
    </r>
    <r>
      <rPr>
        <sz val="10"/>
        <color theme="1"/>
        <rFont val="Trebuchet MS"/>
        <family val="2"/>
      </rPr>
      <t>Follow DPR checklist-Feb-24 Stage-2
(Pavement / Structure)</t>
    </r>
  </si>
  <si>
    <t>Follow DPR checklist -Feb-24 Stage-3
(Pavement / Structure)</t>
  </si>
  <si>
    <t>Follow DPR checklist -Feb-24 Stage-4
(Pavement / Structure)</t>
  </si>
  <si>
    <t>Follow DPR checklist -Feb-24 Stage-5
(Pavement / Structure)</t>
  </si>
  <si>
    <t>Follow DPR checklist -Feb-24 Stage-7
(Pavement / Structure)</t>
  </si>
  <si>
    <t>Follow DPR checklist -Feb-24 Stage-8
(Pavement / Structure)</t>
  </si>
  <si>
    <t>Videography of entire Existing highway stretch</t>
  </si>
  <si>
    <t>Alignment approval from Concern approval authority</t>
  </si>
  <si>
    <t>Geo Technical Investigation and sub soil Exploration at proposed CD work, Bridges &amp; structures</t>
  </si>
  <si>
    <t>Pavement Structural Strenth Survey (BBD / FWD)</t>
  </si>
  <si>
    <t xml:space="preserve">Hydraulic and Hydrological Survey </t>
  </si>
  <si>
    <t>Preliminary environmental assessment</t>
  </si>
  <si>
    <t xml:space="preserve">Economic analysis </t>
  </si>
  <si>
    <t>IRC:SP:13 and IRC:5</t>
  </si>
  <si>
    <t>Strip plan and Alignment Drawing</t>
  </si>
  <si>
    <t>RA Bill (On Approval of Final Alignment Report)</t>
  </si>
  <si>
    <t>Ground Penetrating Radar (GPR) Survey for identification of sub-surface utilities</t>
  </si>
  <si>
    <t>Collection of Village Maps &amp; Collection of Land revenue records etc.</t>
  </si>
  <si>
    <t>Clearance-I Report</t>
  </si>
  <si>
    <t>Follow DPR checklist -Feb-24 Stage-6
(Pavement / Structure)</t>
  </si>
  <si>
    <t>Clearance-II Report</t>
  </si>
  <si>
    <t>Identification of surface utilities</t>
  </si>
  <si>
    <t>Comments from Concern approval authority &amp; Its Compliance, if any LA-I Report</t>
  </si>
  <si>
    <t>Submission of  Final LA-I Report incl. Strip/LA Plan</t>
  </si>
  <si>
    <t>RA Bill (On Submission of  Final LA-I Report incl. Strip/LA Plant)</t>
  </si>
  <si>
    <t>RA Bill (On submission of Final Feasibility Report)</t>
  </si>
  <si>
    <t>Utility-I Report</t>
  </si>
  <si>
    <t xml:space="preserve">LA-I Report </t>
  </si>
  <si>
    <t>RA Bill (On Submission of  Utility Proposals and Utility Shifting Plan)</t>
  </si>
  <si>
    <t>Submission of Utility Shifting proposals to user agency</t>
  </si>
  <si>
    <t>Consultation with Utility agency  &amp; Discussion on Tentative Cost of relocation</t>
  </si>
  <si>
    <t>Preparation of Draft 3A Notifications</t>
  </si>
  <si>
    <t>Liasion for appointment of CALA  &amp;  Publication of 3a Gazette Notification</t>
  </si>
  <si>
    <t xml:space="preserve">Submission of Clearance-I Report </t>
  </si>
  <si>
    <t>RA Bill (On Submission of  Clearance-I Report )</t>
  </si>
  <si>
    <t>Initial consultation with competent authority</t>
  </si>
  <si>
    <t xml:space="preserve">Details/cost of trees being felled basis concerned District Forest Office </t>
  </si>
  <si>
    <t xml:space="preserve">LA-II Report </t>
  </si>
  <si>
    <t>Utility-II Report</t>
  </si>
  <si>
    <t>Liasion for Publication of 3A Gazette Notification</t>
  </si>
  <si>
    <t xml:space="preserve">Joint measurement survey with DILR officials / competent authority </t>
  </si>
  <si>
    <t>Valuation of existing properties atteched with the acquistion land</t>
  </si>
  <si>
    <t>Submission of  LA-II Report incl. Final Strip/LA Plan</t>
  </si>
  <si>
    <t>RA Bill (On 3D Publication &amp; Submission of  LA-II Report )</t>
  </si>
  <si>
    <t>Liasion for Publication of 3D Gazette Notification</t>
  </si>
  <si>
    <t xml:space="preserve">Submission of Utility-II Report &amp; Final Utility relocation plan </t>
  </si>
  <si>
    <t xml:space="preserve">Joint site inspection with competent authority </t>
  </si>
  <si>
    <t>Collection of NO upgradation certificate</t>
  </si>
  <si>
    <t>RA Bill (On approval of Utility shifting estimates &amp; Submission of  Utility-II Report)</t>
  </si>
  <si>
    <t>Land Award Report (LA-III Report)</t>
  </si>
  <si>
    <t>Retention amount release Aftrer 3 year from work start &amp; Project COD whichever is earlier</t>
  </si>
  <si>
    <t>Liasion for Award Decleration (3G)</t>
  </si>
  <si>
    <t>Submission of Land Award Report</t>
  </si>
  <si>
    <t>Min. 90% of 3D</t>
  </si>
  <si>
    <t>RA Bill (On Submission of  Land Award Report )</t>
  </si>
  <si>
    <t>Land possession Report (LA-IV Report)</t>
  </si>
  <si>
    <t>Submission of Land possession Report</t>
  </si>
  <si>
    <t>RA Bill (On Submission of  Land possession Report )</t>
  </si>
  <si>
    <t>Receipt of Land Possession Certificate 3(E)</t>
  </si>
  <si>
    <t>Liasion for Deposition of compensation amount by Govt. to CALA 3(H)</t>
  </si>
  <si>
    <t>Liasion for Amount Disbursement to Land owners by CALA</t>
  </si>
  <si>
    <t>RA Bill (On Submission of  Final Clearance-II Report )</t>
  </si>
  <si>
    <t xml:space="preserve">Submission of Final Clearance-II Report </t>
  </si>
  <si>
    <t>Environment Clearance</t>
  </si>
  <si>
    <t>Liasion for Public Hearing</t>
  </si>
  <si>
    <t>Final environment clearance by competent authority</t>
  </si>
  <si>
    <t>Forest Clearance</t>
  </si>
  <si>
    <t xml:space="preserve">Joint site inspection with DFO / competent authority </t>
  </si>
  <si>
    <t>Stage I forest clearance approval by competent authority (Principal Approval)</t>
  </si>
  <si>
    <t>Stage II forest clearance approval by competent authority (Final Approval)</t>
  </si>
  <si>
    <t>Wildlife Clearance</t>
  </si>
  <si>
    <t>Stage I Wild clearance approval by competent authority (Principal Approval)</t>
  </si>
  <si>
    <t>Stage II Wild clearance approval by competent authority (Final Approval)</t>
  </si>
  <si>
    <t>Liasion for FRA certificate</t>
  </si>
  <si>
    <t>Other Clearance</t>
  </si>
  <si>
    <t>CRZ Clearance</t>
  </si>
  <si>
    <t>Preparation and submission of documents along with Form-I</t>
  </si>
  <si>
    <t>Site Visit, to be carried out by GCZMA/State Govt. for site verification</t>
  </si>
  <si>
    <t>Presentation (infront of committee members)</t>
  </si>
  <si>
    <t>Final CRZ clearance by competent authority</t>
  </si>
  <si>
    <t>Submission of of Clearance proposals</t>
  </si>
  <si>
    <t>Submission of of Clearance proposals (GAD Submission for approval)</t>
  </si>
  <si>
    <t>Final GAD Approval from concern approval autority (i.e. Railway, Irrigation etc..)</t>
  </si>
  <si>
    <t>Preparation of EIA Report</t>
  </si>
  <si>
    <t>Mapping of CRZ Boundary on Map (i.e. LOW tide, Hide Tide line &amp; CRZ Area ) by Autorised Agency</t>
  </si>
  <si>
    <t>Submission of Draft Civil work contract Agreement (EPC / BOT / HAM / Anyother) along with technical schedule</t>
  </si>
  <si>
    <t>Submission of Bid Documents (RFP / NIT etc..)</t>
  </si>
  <si>
    <t>Approval of Bid Documents (RFP / NIT etc..)</t>
  </si>
  <si>
    <t>RA Bill (On Approval of Bid Documents &amp; Civil work Contract Agreement incl. Technical Schedule)</t>
  </si>
  <si>
    <t>Packgae Award to Concessionaire/Contractor</t>
  </si>
  <si>
    <t>RA Bill (On Earlier of Packgae Award to Concessionaire/Contractor or 6 months from launch of tender process )</t>
  </si>
  <si>
    <t>RA Bill (On approval of  Final DPR, Documents &amp; Drawings )</t>
  </si>
  <si>
    <t>Comments from Concern approval authority &amp; Its Compliance, if any on Draft DPR</t>
  </si>
  <si>
    <t>Civil work contract agreement along with Technical Schedule &amp; Bid Documents</t>
  </si>
  <si>
    <t>Shifting &amp; Finalization of Horizontal alignment for Minimize major demolistion of existing structure.</t>
  </si>
  <si>
    <t>IRC:78</t>
  </si>
  <si>
    <t>Finalise Lane Configuration and Preparation of Final TCS</t>
  </si>
  <si>
    <t xml:space="preserve">Socio Economic impact Study (Initial social assessment/ preliminary LA resettlement plan) </t>
  </si>
  <si>
    <t>Only Alignment Plan &amp; TCS</t>
  </si>
  <si>
    <t>Socio Economic impact Study (Initial social assessment/ preliminary LA resettlement plan)  Resettlement Action Plan (RAP)</t>
  </si>
  <si>
    <t>Geo-technical and sub-soil explorations report</t>
  </si>
  <si>
    <t>Topography Survey on Proposed Bypass &amp; Realignment / Proposed approved Alignment</t>
  </si>
  <si>
    <r>
      <t xml:space="preserve">Reconnaissance Survey &amp; Data Preparations / Collections </t>
    </r>
    <r>
      <rPr>
        <b/>
        <sz val="14"/>
        <color theme="1"/>
        <rFont val="Times New Roman"/>
        <family val="1"/>
      </rPr>
      <t>(For Feasibility report after alignment approval)</t>
    </r>
  </si>
  <si>
    <t>Volume - 2
(Part-1)</t>
  </si>
  <si>
    <t>Volume - 2
(Part-2)</t>
  </si>
  <si>
    <t>Hydraulic &amp; Hydrological Investigation report</t>
  </si>
  <si>
    <t>Environmental Assessment Report including Environmental Management Plan (EMP) &amp; Resettlement Action Plan (RAP):</t>
  </si>
  <si>
    <t>Volume - 9</t>
  </si>
  <si>
    <t>Volume - 7</t>
  </si>
  <si>
    <t>Volume - 8</t>
  </si>
  <si>
    <t>Drainage Plan</t>
  </si>
  <si>
    <t>Drainage plan prepared on basis of contours of the area, outlet availability and discharge requirements including discharge at the outfall from drains  of local bodies 
Drawing includes (Drainage plan &amp; Cross-sections of RCC Drain etc)</t>
  </si>
  <si>
    <t>Drainage Design Report</t>
  </si>
  <si>
    <t>Volume - 10
(Part-1)</t>
  </si>
  <si>
    <t>Volume - 10
(Part-2)</t>
  </si>
  <si>
    <t>Refer Appendix VIII in Std.DPR RFP-Feb-24</t>
  </si>
  <si>
    <t>Traffic Report (incl. Volume count, Axel load, TMC, O-D survey etc..)</t>
  </si>
  <si>
    <r>
      <t>Collection &amp; Testing of Various materials (e.g. Cement, Steel, Aggregates, Bitumen, water, Fly Ash,  Borrow area soil, Embakment Soil &amp; Other locally availabe material (eg. Hume pipes etc..)</t>
    </r>
    <r>
      <rPr>
        <b/>
        <sz val="12"/>
        <color theme="1"/>
        <rFont val="Times New Roman"/>
        <family val="1"/>
      </rPr>
      <t xml:space="preserve"> (Physical &amp; Chemical Properties)</t>
    </r>
  </si>
  <si>
    <r>
      <t xml:space="preserve">Subgrade Characteristics and Strength survey 
- Collection of Existing Sub-Grade Soil Sample by Digging test Pits &amp; Testing </t>
    </r>
    <r>
      <rPr>
        <b/>
        <sz val="12"/>
        <color theme="1"/>
        <rFont val="Times New Roman"/>
        <family val="1"/>
      </rPr>
      <t>physical &amp; Chemical Properties</t>
    </r>
  </si>
  <si>
    <t>Existing Pavement Condition, Composition Survey &amp;  Roughness survey (BI/NSV)</t>
  </si>
  <si>
    <t>Condition survey for Existing CD works, Bridges &amp; Structures</t>
  </si>
  <si>
    <t>FWD Report</t>
  </si>
  <si>
    <t>FWD Report (inc. Existing sub-grade soil test report)</t>
  </si>
  <si>
    <t>Design Based Report (DBR)</t>
  </si>
  <si>
    <t>Economic and financial analysis report</t>
  </si>
  <si>
    <t>Final Geometric Design of approved alignment (Plan &amp; Profile) 
(As per Final FRL of proposed by design department for CD works, Bridges &amp; Structures)</t>
  </si>
  <si>
    <t>Inventory &amp; Condition survey report (Existing CD works, Bridges &amp; Structures)</t>
  </si>
  <si>
    <t>NSV Report (incl. Road Inventory, Pavement Condition, Composition and Roughness)</t>
  </si>
  <si>
    <t>IRC:81 
/ IRC:115 &amp; 117</t>
  </si>
  <si>
    <t>IRC:SP:19 &amp;
IRC SP:16</t>
  </si>
  <si>
    <r>
      <t xml:space="preserve">Add Road Inventory in report </t>
    </r>
    <r>
      <rPr>
        <b/>
        <sz val="11"/>
        <color theme="1"/>
        <rFont val="Times New Roman"/>
        <family val="1"/>
      </rPr>
      <t>(NSV Report)</t>
    </r>
  </si>
  <si>
    <t xml:space="preserve">Cost Estimate </t>
  </si>
  <si>
    <t>Bill of Quantities</t>
  </si>
  <si>
    <t>Gazette Notifications</t>
  </si>
  <si>
    <t>Prepare Final list of proposed strutures (Chainage, Span etc..) (for CD works, Bridges &amp; Structures)</t>
  </si>
  <si>
    <t>If pending in FS study</t>
  </si>
  <si>
    <t>Same Shall be submit in DPR (Vol.6,7 &amp; 8)</t>
  </si>
  <si>
    <t>Appendix-1</t>
  </si>
  <si>
    <t>Appendix-2</t>
  </si>
  <si>
    <t>Appendix-3</t>
  </si>
  <si>
    <t>Appendix-4</t>
  </si>
  <si>
    <t>Appendix-5</t>
  </si>
  <si>
    <t>Appendix-6</t>
  </si>
  <si>
    <t>Appendix-7</t>
  </si>
  <si>
    <t>Appendix-8</t>
  </si>
  <si>
    <t>Appendix-9</t>
  </si>
  <si>
    <t>Appendix-11</t>
  </si>
  <si>
    <t>Appendix-13</t>
  </si>
  <si>
    <t>Appendix-12</t>
  </si>
  <si>
    <t>Appendix-14</t>
  </si>
  <si>
    <t>Appendix-10 in Feasibility report</t>
  </si>
  <si>
    <r>
      <t xml:space="preserve">    Preliminary land acquisition </t>
    </r>
    <r>
      <rPr>
        <b/>
        <sz val="12"/>
        <color theme="1"/>
        <rFont val="Times New Roman"/>
        <family val="1"/>
      </rPr>
      <t xml:space="preserve">
</t>
    </r>
    <r>
      <rPr>
        <sz val="12"/>
        <color theme="1"/>
        <rFont val="Times New Roman"/>
        <family val="1"/>
      </rPr>
      <t xml:space="preserve">         Details of Existing and Proposed ROW
         Details about ownership of land to beacquired
         Details about Area of Acquistion and Tentative Cost of Land Acquisition
         Details of Existing Road side affeccted structures &amp; Cost of Demolision</t>
    </r>
  </si>
  <si>
    <t xml:space="preserve">Detailed Estimates &amp; </t>
  </si>
  <si>
    <t>Appendix-15</t>
  </si>
  <si>
    <t>Preparation of Feasibility Report</t>
  </si>
  <si>
    <t>Submission of Techincal Specification
(Special technical specifications which are not covered by MOST Specifications)</t>
  </si>
  <si>
    <t>Traffic Report</t>
  </si>
  <si>
    <t>Black spot report</t>
  </si>
  <si>
    <r>
      <rPr>
        <b/>
        <sz val="12"/>
        <color theme="1"/>
        <rFont val="Times New Roman"/>
        <family val="1"/>
      </rPr>
      <t>Material Report</t>
    </r>
    <r>
      <rPr>
        <sz val="12"/>
        <color theme="1"/>
        <rFont val="Times New Roman"/>
        <family val="1"/>
      </rPr>
      <t xml:space="preserve">
Same Shall be submit in DPR (Vol.3)</t>
    </r>
  </si>
  <si>
    <t>Geo-technical report</t>
  </si>
  <si>
    <t>Hydraulic Report</t>
  </si>
  <si>
    <r>
      <rPr>
        <b/>
        <sz val="11"/>
        <color theme="1"/>
        <rFont val="Times New Roman"/>
        <family val="1"/>
      </rPr>
      <t>Inv. &amp; Condition survey report</t>
    </r>
    <r>
      <rPr>
        <sz val="11"/>
        <color theme="1"/>
        <rFont val="Times New Roman"/>
        <family val="1"/>
      </rPr>
      <t xml:space="preserve">
Add CD work, bridge &amp; Str. Inventory in report</t>
    </r>
  </si>
  <si>
    <t>Incl. Ex.ROW &amp; PROW, CL, existing BT and proposed BT edge
Details of centreline, existing structures,C.wall, Tube well etc. road furniture and other features</t>
  </si>
  <si>
    <t>Atteched Published 3a</t>
  </si>
  <si>
    <t>Submission of  LA-I Report incl. Strip / LA Plan</t>
  </si>
  <si>
    <t>Appendix-I: Publications</t>
  </si>
  <si>
    <t>Appendix-II</t>
  </si>
  <si>
    <t>Atteched Published / Draft 3A</t>
  </si>
  <si>
    <t>Km wise Utility details attached in Utility plan</t>
  </si>
  <si>
    <t>Initial consultation with competent authority (i.e. Railway, Irrigation,Archeology etc….)</t>
  </si>
  <si>
    <t>DETAILED PROJECT REPORT (DPR) STAGE WISE ACTIVITY SCHEDULE</t>
  </si>
  <si>
    <t>Submission of intimation / identification letter from authority to Utility owner</t>
  </si>
  <si>
    <t>Approval of Utility Shifting Estimates / Quotation</t>
  </si>
  <si>
    <t>Submission of Utility Shifting Estimates / Quotation</t>
  </si>
  <si>
    <t xml:space="preserve">Geometric Design of Existing Alignment </t>
  </si>
  <si>
    <t xml:space="preserve">Geometric Design of a Existing alignment </t>
  </si>
  <si>
    <t>Preparation of Alignment Option Report &amp; Presentation</t>
  </si>
  <si>
    <t>Black Spot Audit report</t>
  </si>
  <si>
    <t>Appendix-11 in Feasibility report</t>
  </si>
  <si>
    <t>Appendix-12 in FS report</t>
  </si>
  <si>
    <t>Appendix-13 in Feasibility report</t>
  </si>
  <si>
    <r>
      <t xml:space="preserve">Drawing includes 
</t>
    </r>
    <r>
      <rPr>
        <b/>
        <u/>
        <sz val="12"/>
        <color theme="1"/>
        <rFont val="Times New Roman"/>
        <family val="1"/>
      </rPr>
      <t>Road :</t>
    </r>
    <r>
      <rPr>
        <sz val="12"/>
        <color theme="1"/>
        <rFont val="Times New Roman"/>
        <family val="1"/>
      </rPr>
      <t xml:space="preserve"> Curve Table, Typical cross sections, Lane configuration/TCS Schedule, Plan-Profile, Road furniture plan, Junction improvement etc
</t>
    </r>
    <r>
      <rPr>
        <b/>
        <u/>
        <sz val="12"/>
        <color theme="1"/>
        <rFont val="Times New Roman"/>
        <family val="1"/>
      </rPr>
      <t>Structure :</t>
    </r>
    <r>
      <rPr>
        <sz val="12"/>
        <color theme="1"/>
        <rFont val="Times New Roman"/>
        <family val="1"/>
      </rPr>
      <t xml:space="preserve"> GADs, Protection work (Retaining wall, Toe wall, CB etc.) and 
</t>
    </r>
    <r>
      <rPr>
        <b/>
        <u/>
        <sz val="12"/>
        <color theme="1"/>
        <rFont val="Times New Roman"/>
        <family val="1"/>
      </rPr>
      <t>Project Facility :</t>
    </r>
    <r>
      <rPr>
        <sz val="12"/>
        <color theme="1"/>
        <rFont val="Times New Roman"/>
        <family val="1"/>
      </rPr>
      <t xml:space="preserve"> Toll Plazas, Rest Area, Bus bays, Truck lay buys etc....</t>
    </r>
  </si>
  <si>
    <t xml:space="preserve">Draft / Final Inception Report &amp; QAP </t>
  </si>
  <si>
    <t>Approved By</t>
  </si>
  <si>
    <t>Krunal Patel</t>
  </si>
  <si>
    <t>Type of Report</t>
  </si>
  <si>
    <t>NSV Report</t>
  </si>
  <si>
    <t>Black Spot Report / Safety Audit report (DPR Stage)</t>
  </si>
  <si>
    <t>Zulfikar Petiwala</t>
  </si>
  <si>
    <t>Krunal Patel / Zulfikar Petiwala</t>
  </si>
  <si>
    <t>Existing Structures Inventory &amp; Condition survey report</t>
  </si>
  <si>
    <t>Nilay Gandhi</t>
  </si>
  <si>
    <t>Geo Technical Investigation report</t>
  </si>
  <si>
    <t>Vishal Sakpal</t>
  </si>
  <si>
    <t xml:space="preserve">Suresh Jain </t>
  </si>
  <si>
    <t>Appendix-10</t>
  </si>
  <si>
    <t>Block Estimate</t>
  </si>
  <si>
    <t>Detailed Estimate</t>
  </si>
  <si>
    <t>Design Base Report - Road</t>
  </si>
  <si>
    <t>Design Base Report - Structure</t>
  </si>
  <si>
    <t>Techincal Specification 
(Special technical specifications which are not covered by MOST Specifications)</t>
  </si>
  <si>
    <t>Drainage plan</t>
  </si>
  <si>
    <r>
      <rPr>
        <b/>
        <u/>
        <sz val="12"/>
        <color theme="1"/>
        <rFont val="Trebuchet MS"/>
        <family val="2"/>
      </rPr>
      <t>Project Facility</t>
    </r>
    <r>
      <rPr>
        <sz val="12"/>
        <color theme="1"/>
        <rFont val="Trebuchet MS"/>
        <family val="2"/>
      </rPr>
      <t xml:space="preserve"> : Toll Plazas, Rest Area, Bus bays, Truck lay buys etc....</t>
    </r>
  </si>
  <si>
    <t>Sr. No.</t>
  </si>
  <si>
    <t>Drawing Volume</t>
  </si>
  <si>
    <t xml:space="preserve"> Zulfikar Petiwala / Vishal Sakpal  in Consultation with Krunal Patel</t>
  </si>
  <si>
    <t>Zulfikar Petiwala / Toshit</t>
  </si>
  <si>
    <t>Hemant Pandya / Aditya Pancholi</t>
  </si>
  <si>
    <t>Zulfikar Petiwala / Ritesh</t>
  </si>
  <si>
    <t>Peer-reviewed  by a panel of GDRPL reviewers</t>
  </si>
  <si>
    <t>Zulfikar Petiwala / Krunal Patel</t>
  </si>
  <si>
    <t>Collection of Petrol pump selling Data</t>
  </si>
  <si>
    <t>Pavement Design Report (With alternative Design Options)</t>
  </si>
  <si>
    <t>Pavement Design report (With Alternative Design Options)</t>
  </si>
  <si>
    <t xml:space="preserve">Pavement Design report </t>
  </si>
  <si>
    <t>Final Design From alternative Option given in F.S. Report</t>
  </si>
  <si>
    <t>Kick-off Meeting with client &amp; preliminary site visit</t>
  </si>
  <si>
    <t>Pavement Design Report (With Final Design among all Options)</t>
  </si>
  <si>
    <t>For AADT Calculation</t>
  </si>
  <si>
    <t>Check for Alignment feasibilty as well as terrain and underground major utility existance / Hurdles</t>
  </si>
  <si>
    <t>Existing Bridges, Culverts &amp; Structures Inventory</t>
  </si>
  <si>
    <t>Prepration &amp; Submission of Draft Inception Report &amp; QAP</t>
  </si>
  <si>
    <t xml:space="preserve">Draft / Final Inception Report &amp; QAP                                                                                       </t>
  </si>
  <si>
    <t>Prepration &amp; Submission of Final Inception Report &amp; QAP</t>
  </si>
  <si>
    <t>Approval of Final Inception Report &amp; QAP</t>
  </si>
  <si>
    <t>RA Bill (On submission of Final Inception Report &amp; QAP)</t>
  </si>
  <si>
    <t xml:space="preserve">▪ Utility-I Report incl. Utility relocation plan </t>
  </si>
  <si>
    <t>▪ Clearance-I Report</t>
  </si>
  <si>
    <t xml:space="preserve">▪ Utility-II Report incl. Final Utility relocation plan </t>
  </si>
  <si>
    <t>▪ Clearance-II Report</t>
  </si>
  <si>
    <t>Comments from Concern approval authority &amp; Its Compliance, if any on Draft Inception Report &amp; QAP</t>
  </si>
  <si>
    <t>Traffic surveys &amp; Analysis</t>
  </si>
  <si>
    <t>Environment and Social Impact Assessment</t>
  </si>
  <si>
    <r>
      <rPr>
        <b/>
        <sz val="12"/>
        <color theme="1"/>
        <rFont val="Times New Roman"/>
        <family val="1"/>
      </rPr>
      <t>Environment and Social Impact Assessment report</t>
    </r>
    <r>
      <rPr>
        <sz val="12"/>
        <color theme="1"/>
        <rFont val="Times New Roman"/>
        <family val="1"/>
      </rPr>
      <t xml:space="preserve">
Same Shall be submit in DPR (Vol.4)</t>
    </r>
  </si>
  <si>
    <t>Environment and Social Impact Assessment report including Environmental Management Plan (EMP) &amp; Resettlement Action Plan (RAP):</t>
  </si>
  <si>
    <r>
      <rPr>
        <b/>
        <sz val="12"/>
        <color theme="1"/>
        <rFont val="Times New Roman"/>
        <family val="1"/>
      </rPr>
      <t xml:space="preserve">Design of road </t>
    </r>
    <r>
      <rPr>
        <sz val="12"/>
        <color theme="1"/>
        <rFont val="Times New Roman"/>
        <family val="1"/>
      </rPr>
      <t xml:space="preserve">
 Design based report for Design of alignment, Embankment, Highway Lighting, Arboriculture and Landscaping, Toll Plaza, Weighing Station, Parking Areas,  Rest Areas, Office-cum-Residential Complex etc.</t>
    </r>
  </si>
  <si>
    <r>
      <rPr>
        <b/>
        <sz val="12"/>
        <color theme="1"/>
        <rFont val="Times New Roman"/>
        <family val="1"/>
      </rPr>
      <t xml:space="preserve">Design of Structures </t>
    </r>
    <r>
      <rPr>
        <sz val="12"/>
        <color theme="1"/>
        <rFont val="Times New Roman"/>
        <family val="1"/>
      </rPr>
      <t xml:space="preserve">
    Design based report for Proposed Bridges, Protection works, CD Works &amp; Structures etc.</t>
    </r>
  </si>
  <si>
    <t>▪ Inception report &amp;
▪ QAP Documents</t>
  </si>
  <si>
    <t>Main Report (Feasibility)</t>
  </si>
  <si>
    <t>Main Report (Detailed Project Report)</t>
  </si>
  <si>
    <t>Drawings (P&amp;P, TCS only)</t>
  </si>
  <si>
    <t>▪ LA-I Report &amp; Strip Plan with Estimated Cost of LAQ</t>
  </si>
  <si>
    <r>
      <t xml:space="preserve">▪ </t>
    </r>
    <r>
      <rPr>
        <u/>
        <sz val="12"/>
        <color theme="1"/>
        <rFont val="Trebuchet MS"/>
        <family val="2"/>
      </rPr>
      <t>Draft / Final Detailed Project report</t>
    </r>
    <r>
      <rPr>
        <sz val="12"/>
        <color theme="1"/>
        <rFont val="Trebuchet MS"/>
        <family val="2"/>
      </rPr>
      <t xml:space="preserve">
Volume-I : Main Report
Volume-II : Design Report
  (Part-1 : Road - DBR &amp; Appendix-1 to 6)
  (Part-2: Structure -DBR &amp; Appendix-7 to 9)
Volume-III : Material Report
</t>
    </r>
    <r>
      <rPr>
        <sz val="10.5"/>
        <color theme="1"/>
        <rFont val="Trebuchet MS"/>
        <family val="2"/>
      </rPr>
      <t>Volume-IV : Environmental &amp; Social impact Assessment Report</t>
    </r>
    <r>
      <rPr>
        <sz val="12"/>
        <color theme="1"/>
        <rFont val="Trebuchet MS"/>
        <family val="2"/>
      </rPr>
      <t xml:space="preserve">
Volume-V : Technical Specifications
Volume-VI : Rate Analysis
Volume-VII : Detailed Estimate 
Volume-VIII : &amp; BOQ
Volume-IX : Drawing
Volume-X : Drainage Plan
  (Part-1 : Drainage Design report)
  (Part-2: Drawings)</t>
    </r>
  </si>
  <si>
    <t>Strip Plan / LA Plan and Estimated cost of Land Acquisition</t>
  </si>
  <si>
    <t>Submission of Necessary Clearance Proposal</t>
  </si>
  <si>
    <t>Zulfikar Petiwala/Ramesh Vanzara</t>
  </si>
  <si>
    <t xml:space="preserve">Submission of Utility Shifting Proposal </t>
  </si>
  <si>
    <t>Final Strip Plan / LA Plan and Final Estimated cost of Land Acquisition</t>
  </si>
  <si>
    <t>Submission of Utility Shifting Estimates</t>
  </si>
  <si>
    <t>NO Upgradation Certificate</t>
  </si>
  <si>
    <r>
      <t xml:space="preserve">3(A) &amp; 3(D) Gazzete Notification </t>
    </r>
    <r>
      <rPr>
        <u/>
        <sz val="12"/>
        <color theme="1"/>
        <rFont val="Trebuchet MS"/>
        <family val="2"/>
      </rPr>
      <t>OR</t>
    </r>
    <r>
      <rPr>
        <sz val="12"/>
        <color theme="1"/>
        <rFont val="Trebuchet MS"/>
        <family val="2"/>
      </rPr>
      <t xml:space="preserve">  Publication of Section 10A, 11 &amp; 19</t>
    </r>
  </si>
  <si>
    <t xml:space="preserve">3(a) Gazzete Notification &amp; Submission of 3(A) / 10A Proposal </t>
  </si>
  <si>
    <t>REPORTS FOR DPR &amp; APPROVAL AUTHORITY (GDRPL)</t>
  </si>
  <si>
    <t>Monthly Progress Report</t>
  </si>
  <si>
    <t>Submission of Final clearances Documents/Drawings received by competent authority</t>
  </si>
  <si>
    <t>LA &amp; Clearance III Report / Award Determination Report</t>
  </si>
  <si>
    <t>LA &amp; Clearance IV Report / Land Possession Report</t>
  </si>
  <si>
    <t>▪ LA-II Report &amp; Final Strip Plan &amp; Cost of LAQ</t>
  </si>
  <si>
    <r>
      <t xml:space="preserve">▪ Volume-I : Alignment Option Report
▪ Volume-II : Fesibility Report - Main Report
   </t>
    </r>
    <r>
      <rPr>
        <sz val="10"/>
        <color theme="1"/>
        <rFont val="Trebuchet MS"/>
        <family val="2"/>
      </rPr>
      <t xml:space="preserve">(Appendix-1 : Traffic Report)
   (Appendix-2 :  NSV Report incl. Road inventory)
   (Appendix-3 :  FWD Report)
   (Appendix-4 :  Pavement Design Report with Design options)
</t>
    </r>
    <r>
      <rPr>
        <strike/>
        <sz val="10"/>
        <color theme="1"/>
        <rFont val="Trebuchet MS"/>
        <family val="2"/>
      </rPr>
      <t xml:space="preserve">   (Appendix-5 :  Economic and financial analysis report)</t>
    </r>
    <r>
      <rPr>
        <sz val="10"/>
        <color theme="1"/>
        <rFont val="Trebuchet MS"/>
        <family val="2"/>
      </rPr>
      <t xml:space="preserve">
   (Appendix-6 :  Black spot report)
   (Appendix-7 :  Existing structures Inventory &amp;    
                         Condition survey Report)
   </t>
    </r>
    <r>
      <rPr>
        <strike/>
        <sz val="10"/>
        <color theme="1"/>
        <rFont val="Trebuchet MS"/>
        <family val="2"/>
      </rPr>
      <t>(Appendix-8 :  Geo Technical investigation Report)</t>
    </r>
    <r>
      <rPr>
        <sz val="10"/>
        <color theme="1"/>
        <rFont val="Trebuchet MS"/>
        <family val="2"/>
      </rPr>
      <t xml:space="preserve">
   </t>
    </r>
    <r>
      <rPr>
        <strike/>
        <sz val="10"/>
        <color theme="1"/>
        <rFont val="Trebuchet MS"/>
        <family val="2"/>
      </rPr>
      <t>(Appendix-9 :  Hydraulic Report)</t>
    </r>
    <r>
      <rPr>
        <sz val="10"/>
        <color theme="1"/>
        <rFont val="Trebuchet MS"/>
        <family val="2"/>
      </rPr>
      <t xml:space="preserve">
   (Appendix-10 :  Material Report)
  </t>
    </r>
    <r>
      <rPr>
        <sz val="9"/>
        <color theme="1"/>
        <rFont val="Trebuchet MS"/>
        <family val="2"/>
      </rPr>
      <t xml:space="preserve"> </t>
    </r>
    <r>
      <rPr>
        <strike/>
        <sz val="9"/>
        <color theme="1"/>
        <rFont val="Trebuchet MS"/>
        <family val="2"/>
      </rPr>
      <t>(Appendix-11 :  Environment and Social Impact Assessment report)</t>
    </r>
    <r>
      <rPr>
        <sz val="10"/>
        <color theme="1"/>
        <rFont val="Trebuchet MS"/>
        <family val="2"/>
      </rPr>
      <t xml:space="preserve">
   </t>
    </r>
    <r>
      <rPr>
        <strike/>
        <sz val="10"/>
        <color theme="1"/>
        <rFont val="Trebuchet MS"/>
        <family val="2"/>
      </rPr>
      <t>(Appendix-12 :  Rate analysis)</t>
    </r>
    <r>
      <rPr>
        <sz val="10"/>
        <color theme="1"/>
        <rFont val="Trebuchet MS"/>
        <family val="2"/>
      </rPr>
      <t xml:space="preserve">
   (Appendix-13 :  Block Estimate)
   (Appendix-14 :  Preliminary land acquisition Details)
   (Appendix-15 :  Alignment Drawing (P&amp;P,TCS only)</t>
    </r>
  </si>
  <si>
    <r>
      <rPr>
        <b/>
        <u/>
        <sz val="12"/>
        <color theme="1"/>
        <rFont val="Trebuchet MS"/>
        <family val="2"/>
      </rPr>
      <t xml:space="preserve">Structure : </t>
    </r>
    <r>
      <rPr>
        <sz val="12"/>
        <color theme="1"/>
        <rFont val="Trebuchet MS"/>
        <family val="2"/>
      </rPr>
      <t>GADs, Protection work (Retaining wall/Toe wall/Gabion/Breast wall, Crash barrier etc….</t>
    </r>
  </si>
  <si>
    <t>Final Utility Shifting plan with Detailed Utility statement</t>
  </si>
  <si>
    <t>Utility Shifting plan with Detailed Utility statement</t>
  </si>
  <si>
    <t>Award of Project /  LOA</t>
  </si>
  <si>
    <t>Letter for Proceeding / Work order</t>
  </si>
  <si>
    <t>Inception report &amp; QAP</t>
  </si>
  <si>
    <t xml:space="preserve">Submission of QAP </t>
  </si>
  <si>
    <t>Exisitng Road &amp; Existing Bridges, Culverts &amp; Structures Inventory</t>
  </si>
  <si>
    <t xml:space="preserve">Submission of  Draft Inception Report </t>
  </si>
  <si>
    <t>Comments of Client on Draft Inception Report &amp; QAP</t>
  </si>
  <si>
    <t>Submission of  Final Inception Report &amp; QAP</t>
  </si>
  <si>
    <t>Collection of Cadastral Maps &amp; Revenue records etc.</t>
  </si>
  <si>
    <t>Collection of Reserved Forest Survey nos. and Protected Forest Chainage from concern DCF</t>
  </si>
  <si>
    <t>Public Consulation incl. consultation with Communities, Working NGOs &amp; other stake-holders</t>
  </si>
  <si>
    <t>Final Geometric Design for various Alignment options</t>
  </si>
  <si>
    <t xml:space="preserve">Submission of Alignment Options Report with presetation </t>
  </si>
  <si>
    <t>Approval of Alignment / Comments of Client on Alignment Options Report</t>
  </si>
  <si>
    <t>Feasibility Report</t>
  </si>
  <si>
    <t>Collection of Existing Sub-Grade Soil Sample &amp; Testing / Trial pit investigation</t>
  </si>
  <si>
    <t>Collection of Accident data (FIR) for Identification of Black Spots /  Black Spots Audit report</t>
  </si>
  <si>
    <t>Comments of Client on Draft FS Report</t>
  </si>
  <si>
    <t>LA &amp; Clearance -I Report</t>
  </si>
  <si>
    <t>LA</t>
  </si>
  <si>
    <t>Publication of 3a / 10a Gazette Notification</t>
  </si>
  <si>
    <t>Preparation of Draft 3A / 11 Notifications (Eligible for 1% Bonus)</t>
  </si>
  <si>
    <t>Preparation of Estimated Cost of Land Acquisition</t>
  </si>
  <si>
    <t>Preparation of Strip / LA Plan</t>
  </si>
  <si>
    <t xml:space="preserve">Submission of  Draft LA -I Report </t>
  </si>
  <si>
    <t xml:space="preserve">Comments of Client on  Draft LA -I Report </t>
  </si>
  <si>
    <t xml:space="preserve">Submission of  Final LA -I Report </t>
  </si>
  <si>
    <t xml:space="preserve">Approval of Final LA -I Report </t>
  </si>
  <si>
    <t>Utility</t>
  </si>
  <si>
    <t>Identification of Tentative Cost of relocation</t>
  </si>
  <si>
    <t>Clearance</t>
  </si>
  <si>
    <t xml:space="preserve">Submission of Clearance -I Report </t>
  </si>
  <si>
    <t>Detailed Project Report</t>
  </si>
  <si>
    <t>Preparation of Detialed Estimate of Highway (incl. Final TCS &amp; Lane Configuration)</t>
  </si>
  <si>
    <t>Preparation of Proposed Structures GADs</t>
  </si>
  <si>
    <t xml:space="preserve">Preparation of Detialed Estimate of Proposed Structures </t>
  </si>
  <si>
    <t>Preparation of Design Based Report (DBR) (Road and strutuers)</t>
  </si>
  <si>
    <t>Preparation of Misc. Drawings ( Road furniture plan, Junction improvement etc..)</t>
  </si>
  <si>
    <t>Preparation of Drainage Design Report</t>
  </si>
  <si>
    <t>Preparation of Drainage plan</t>
  </si>
  <si>
    <t>Submission of Draft Detailed Project Report (on Approved Alignment)</t>
  </si>
  <si>
    <t>Comments of Client on Draft DPR</t>
  </si>
  <si>
    <t>Submission of Final Detailed Project Report</t>
  </si>
  <si>
    <t>Approval of Final Detailed Project Report</t>
  </si>
  <si>
    <t>Civil work contract Agreement &amp; Technical Schedule</t>
  </si>
  <si>
    <t>Submission of Draft Civil work contract Agreement with technical schedule</t>
  </si>
  <si>
    <t>Comments of Client on Draft Civil work contract Agreement with technical schedule</t>
  </si>
  <si>
    <t>Submission of Bid Documents &amp; Civil work Contract Agreement incl. Technical Schedule</t>
  </si>
  <si>
    <t>Approval of Bid Documents &amp; Civil work Contract Agreement incl. Technical Schedule</t>
  </si>
  <si>
    <t>Prebid Query Reply</t>
  </si>
  <si>
    <t>Publication of 3A / 11 Gazette Notification</t>
  </si>
  <si>
    <t>Publication of 3D Gazette Notification</t>
  </si>
  <si>
    <t>Preparation of Final Strip / LA Plan</t>
  </si>
  <si>
    <t xml:space="preserve">Submission of  LA -II Report </t>
  </si>
  <si>
    <t>Submission of Utility Shifting Estimates / Quotation with NO upgradation certificate</t>
  </si>
  <si>
    <t>Submission of Utility-II Report</t>
  </si>
  <si>
    <t>Award Decleration (3G)</t>
  </si>
  <si>
    <t>Deposition of compensation amount by Govt. to CALA 3(H)</t>
  </si>
  <si>
    <t>Disbursement to Land owners by CALA</t>
  </si>
  <si>
    <t>Receipt of Land Possession Certificate 3 ( E)</t>
  </si>
  <si>
    <t>Data Preparations / Collections (Alignment report)</t>
  </si>
  <si>
    <t>Reconnaissance Survey (Alignment report)</t>
  </si>
  <si>
    <t xml:space="preserve">Collection of Accident data (FIR) from the Police Station </t>
  </si>
  <si>
    <t>Identification of Black Spots</t>
  </si>
  <si>
    <t>Geo-technical and sub-soil explorations report (Nos.of GT Inconsultation with Soil &amp; Project Team)</t>
  </si>
  <si>
    <t>Final Plan - Profile Design of Highway (Inconsultation Design dept.) (with Prior approval of client)</t>
  </si>
  <si>
    <t>Preparation of Technical Schedule (A,B,C,D) (Need for SFC..)</t>
  </si>
  <si>
    <t>PROJECTS :</t>
  </si>
  <si>
    <t xml:space="preserve">Initial consultation with competent authority </t>
  </si>
  <si>
    <t>Submission of Clearance proposals - Protected Forest</t>
  </si>
  <si>
    <r>
      <rPr>
        <sz val="12"/>
        <color theme="0"/>
        <rFont val="Trebuchet MS"/>
        <family val="2"/>
      </rPr>
      <t>Submission of Clearance proposals</t>
    </r>
    <r>
      <rPr>
        <sz val="12"/>
        <rFont val="Trebuchet MS"/>
        <family val="2"/>
      </rPr>
      <t xml:space="preserve"> - Reserved Forest</t>
    </r>
  </si>
  <si>
    <t>Identification of surface utilities (Field Study)</t>
  </si>
  <si>
    <r>
      <rPr>
        <sz val="12"/>
        <color theme="0"/>
        <rFont val="Trebuchet MS"/>
        <family val="2"/>
      </rPr>
      <t>Submission of Clearance proposals</t>
    </r>
    <r>
      <rPr>
        <sz val="12"/>
        <rFont val="Trebuchet MS"/>
        <family val="2"/>
      </rPr>
      <t xml:space="preserve"> - Environment Clearance</t>
    </r>
  </si>
  <si>
    <r>
      <rPr>
        <sz val="12"/>
        <color theme="0"/>
        <rFont val="Trebuchet MS"/>
        <family val="2"/>
      </rPr>
      <t>Submission of Clearance proposals</t>
    </r>
    <r>
      <rPr>
        <sz val="12"/>
        <rFont val="Trebuchet MS"/>
        <family val="2"/>
      </rPr>
      <t xml:space="preserve"> - Wildlife Clearance</t>
    </r>
  </si>
  <si>
    <r>
      <rPr>
        <sz val="12"/>
        <color theme="0"/>
        <rFont val="Trebuchet MS"/>
        <family val="2"/>
      </rPr>
      <t>Submission of Clearance proposals</t>
    </r>
    <r>
      <rPr>
        <sz val="12"/>
        <rFont val="Trebuchet MS"/>
        <family val="2"/>
      </rPr>
      <t xml:space="preserve"> - CRZ Clearance</t>
    </r>
  </si>
  <si>
    <r>
      <rPr>
        <sz val="12"/>
        <color theme="0"/>
        <rFont val="Trebuchet MS"/>
        <family val="2"/>
      </rPr>
      <t>Submission of Clearance proposals</t>
    </r>
    <r>
      <rPr>
        <sz val="12"/>
        <rFont val="Trebuchet MS"/>
        <family val="2"/>
      </rPr>
      <t xml:space="preserve"> - Archeology Clearance-Central protected</t>
    </r>
  </si>
  <si>
    <r>
      <rPr>
        <sz val="12"/>
        <color theme="0"/>
        <rFont val="Trebuchet MS"/>
        <family val="2"/>
      </rPr>
      <t>Submission of Clearance proposals</t>
    </r>
    <r>
      <rPr>
        <sz val="12"/>
        <rFont val="Trebuchet MS"/>
        <family val="2"/>
      </rPr>
      <t xml:space="preserve"> - Archeology Clearance -State protected</t>
    </r>
  </si>
  <si>
    <r>
      <rPr>
        <sz val="12"/>
        <color theme="0"/>
        <rFont val="Trebuchet MS"/>
        <family val="2"/>
      </rPr>
      <t>Submission of Clearance proposals</t>
    </r>
    <r>
      <rPr>
        <sz val="12"/>
        <rFont val="Trebuchet MS"/>
        <family val="2"/>
      </rPr>
      <t xml:space="preserve"> - R&amp;B Design Circle (Span&gt;60m)</t>
    </r>
  </si>
  <si>
    <r>
      <rPr>
        <sz val="12"/>
        <color theme="0"/>
        <rFont val="Trebuchet MS"/>
        <family val="2"/>
      </rPr>
      <t>Submission of Clearance proposals</t>
    </r>
    <r>
      <rPr>
        <sz val="12"/>
        <rFont val="Trebuchet MS"/>
        <family val="2"/>
      </rPr>
      <t xml:space="preserve"> - FRA Certificate</t>
    </r>
  </si>
  <si>
    <t>Ank HSC</t>
  </si>
  <si>
    <t>SOU HSC</t>
  </si>
  <si>
    <t>Sachin</t>
  </si>
  <si>
    <t>Navsari</t>
  </si>
  <si>
    <t>Amod</t>
  </si>
  <si>
    <t>NH848</t>
  </si>
  <si>
    <r>
      <rPr>
        <sz val="12"/>
        <color theme="0"/>
        <rFont val="Trebuchet MS"/>
        <family val="2"/>
      </rPr>
      <t xml:space="preserve">Submission of Clearance proposals </t>
    </r>
    <r>
      <rPr>
        <sz val="12"/>
        <rFont val="Trebuchet MS"/>
        <family val="2"/>
      </rPr>
      <t>- Inlandwater Clearance</t>
    </r>
  </si>
  <si>
    <t>Porbandar</t>
  </si>
  <si>
    <t>Rajpipla</t>
  </si>
  <si>
    <t>Palanpur</t>
  </si>
  <si>
    <t>Assam</t>
  </si>
  <si>
    <t>Nagaland</t>
  </si>
  <si>
    <t>CBE</t>
  </si>
  <si>
    <t>Submission Final Utility relocation plan with Detailed Utility statement</t>
  </si>
  <si>
    <t>Clearance approval - Protected Forest (Stage-1)</t>
  </si>
  <si>
    <r>
      <rPr>
        <sz val="12"/>
        <color theme="0"/>
        <rFont val="Trebuchet MS"/>
        <family val="2"/>
      </rPr>
      <t xml:space="preserve">Clearance approval </t>
    </r>
    <r>
      <rPr>
        <sz val="12"/>
        <rFont val="Trebuchet MS"/>
        <family val="2"/>
      </rPr>
      <t>- Protected Forest (Stage-2)</t>
    </r>
  </si>
  <si>
    <r>
      <rPr>
        <sz val="12"/>
        <color theme="0"/>
        <rFont val="Trebuchet MS"/>
        <family val="2"/>
      </rPr>
      <t xml:space="preserve">Clearance approval </t>
    </r>
    <r>
      <rPr>
        <sz val="12"/>
        <rFont val="Trebuchet MS"/>
        <family val="2"/>
      </rPr>
      <t>- Reserved Forest (Stage-2)</t>
    </r>
  </si>
  <si>
    <r>
      <rPr>
        <sz val="12"/>
        <color theme="0"/>
        <rFont val="Trebuchet MS"/>
        <family val="2"/>
      </rPr>
      <t xml:space="preserve">Clearance approval </t>
    </r>
    <r>
      <rPr>
        <sz val="12"/>
        <rFont val="Trebuchet MS"/>
        <family val="2"/>
      </rPr>
      <t>- Reserved Forest (Stage-1)</t>
    </r>
  </si>
  <si>
    <r>
      <rPr>
        <sz val="12"/>
        <color theme="0"/>
        <rFont val="Trebuchet MS"/>
        <family val="2"/>
      </rPr>
      <t>Clearance approval</t>
    </r>
    <r>
      <rPr>
        <sz val="12"/>
        <rFont val="Trebuchet MS"/>
        <family val="2"/>
      </rPr>
      <t xml:space="preserve"> - Environment Clearance</t>
    </r>
  </si>
  <si>
    <r>
      <rPr>
        <sz val="12"/>
        <color theme="0"/>
        <rFont val="Trebuchet MS"/>
        <family val="2"/>
      </rPr>
      <t>Clearance Approval</t>
    </r>
    <r>
      <rPr>
        <sz val="12"/>
        <rFont val="Trebuchet MS"/>
        <family val="2"/>
      </rPr>
      <t xml:space="preserve"> - Wildlife Clearance</t>
    </r>
  </si>
  <si>
    <r>
      <rPr>
        <sz val="12"/>
        <color theme="0"/>
        <rFont val="Trebuchet MS"/>
        <family val="2"/>
      </rPr>
      <t>Clearance Approval</t>
    </r>
    <r>
      <rPr>
        <sz val="12"/>
        <rFont val="Trebuchet MS"/>
        <family val="2"/>
      </rPr>
      <t xml:space="preserve"> - CRZ Clearance</t>
    </r>
  </si>
  <si>
    <r>
      <rPr>
        <sz val="12"/>
        <color theme="0"/>
        <rFont val="Trebuchet MS"/>
        <family val="2"/>
      </rPr>
      <t xml:space="preserve">Clearance Approval </t>
    </r>
    <r>
      <rPr>
        <sz val="12"/>
        <rFont val="Trebuchet MS"/>
        <family val="2"/>
      </rPr>
      <t>- Inlandwater Clearance</t>
    </r>
  </si>
  <si>
    <r>
      <rPr>
        <sz val="12"/>
        <color theme="0"/>
        <rFont val="Trebuchet MS"/>
        <family val="2"/>
      </rPr>
      <t>Clearance Approval</t>
    </r>
    <r>
      <rPr>
        <sz val="12"/>
        <rFont val="Trebuchet MS"/>
        <family val="2"/>
      </rPr>
      <t xml:space="preserve"> - Archeology Clearance -State protected</t>
    </r>
  </si>
  <si>
    <r>
      <rPr>
        <sz val="12"/>
        <color theme="0"/>
        <rFont val="Trebuchet MS"/>
        <family val="2"/>
      </rPr>
      <t>Clearance Approval</t>
    </r>
    <r>
      <rPr>
        <sz val="12"/>
        <rFont val="Trebuchet MS"/>
        <family val="2"/>
      </rPr>
      <t xml:space="preserve"> - Archeology Clearance-Central protected</t>
    </r>
  </si>
  <si>
    <r>
      <rPr>
        <sz val="12"/>
        <color theme="0"/>
        <rFont val="Trebuchet MS"/>
        <family val="2"/>
      </rPr>
      <t>Clearance Approval</t>
    </r>
    <r>
      <rPr>
        <sz val="12"/>
        <rFont val="Trebuchet MS"/>
        <family val="2"/>
      </rPr>
      <t xml:space="preserve"> - Railway Clearance / GAD Approval</t>
    </r>
  </si>
  <si>
    <r>
      <rPr>
        <sz val="12"/>
        <color theme="0"/>
        <rFont val="Trebuchet MS"/>
        <family val="2"/>
      </rPr>
      <t>Submission of Clearance proposals</t>
    </r>
    <r>
      <rPr>
        <sz val="12"/>
        <rFont val="Trebuchet MS"/>
        <family val="2"/>
      </rPr>
      <t xml:space="preserve"> - Railway Clearance  /GAD Submission</t>
    </r>
  </si>
  <si>
    <r>
      <rPr>
        <sz val="12"/>
        <color theme="0"/>
        <rFont val="Trebuchet MS"/>
        <family val="2"/>
      </rPr>
      <t>Submission of Clearance proposals</t>
    </r>
    <r>
      <rPr>
        <sz val="12"/>
        <rFont val="Trebuchet MS"/>
        <family val="2"/>
      </rPr>
      <t xml:space="preserve"> - NHAI /GAD Submission</t>
    </r>
  </si>
  <si>
    <r>
      <rPr>
        <sz val="12"/>
        <color theme="0"/>
        <rFont val="Trebuchet MS"/>
        <family val="2"/>
      </rPr>
      <t>Submission of Clearance proposals</t>
    </r>
    <r>
      <rPr>
        <sz val="12"/>
        <rFont val="Trebuchet MS"/>
        <family val="2"/>
      </rPr>
      <t xml:space="preserve"> - State PWD/GAD Submission</t>
    </r>
  </si>
  <si>
    <r>
      <rPr>
        <sz val="12"/>
        <color theme="0"/>
        <rFont val="Trebuchet MS"/>
        <family val="2"/>
      </rPr>
      <t>Submission of Clearance proposals</t>
    </r>
    <r>
      <rPr>
        <sz val="12"/>
        <rFont val="Trebuchet MS"/>
        <family val="2"/>
      </rPr>
      <t xml:space="preserve"> - Local Govt. Body/GAD Submission</t>
    </r>
  </si>
  <si>
    <r>
      <rPr>
        <sz val="12"/>
        <color theme="0"/>
        <rFont val="Trebuchet MS"/>
        <family val="2"/>
      </rPr>
      <t>Clearance Approval</t>
    </r>
    <r>
      <rPr>
        <sz val="12"/>
        <rFont val="Trebuchet MS"/>
        <family val="2"/>
      </rPr>
      <t xml:space="preserve"> - NHAI  / GAD Approval</t>
    </r>
  </si>
  <si>
    <r>
      <rPr>
        <sz val="12"/>
        <color theme="0"/>
        <rFont val="Trebuchet MS"/>
        <family val="2"/>
      </rPr>
      <t>Clearance Approval</t>
    </r>
    <r>
      <rPr>
        <sz val="12"/>
        <rFont val="Trebuchet MS"/>
        <family val="2"/>
      </rPr>
      <t xml:space="preserve"> - State PWD  / GAD Approval</t>
    </r>
  </si>
  <si>
    <r>
      <rPr>
        <sz val="12"/>
        <color theme="0"/>
        <rFont val="Trebuchet MS"/>
        <family val="2"/>
      </rPr>
      <t>Clearance Approval</t>
    </r>
    <r>
      <rPr>
        <sz val="12"/>
        <rFont val="Trebuchet MS"/>
        <family val="2"/>
      </rPr>
      <t xml:space="preserve"> - Local Govt. Body  / GAD Approval</t>
    </r>
  </si>
  <si>
    <r>
      <rPr>
        <sz val="12"/>
        <color theme="0"/>
        <rFont val="Trebuchet MS"/>
        <family val="2"/>
      </rPr>
      <t>Clearance Approval</t>
    </r>
    <r>
      <rPr>
        <sz val="12"/>
        <rFont val="Trebuchet MS"/>
        <family val="2"/>
      </rPr>
      <t xml:space="preserve"> - Irrigation Clearance / GAD Approval</t>
    </r>
  </si>
  <si>
    <t>Walkthrough on proposed new greenfield alignment/Bypass/Realignment /Existing alignment</t>
  </si>
  <si>
    <t>Submission of Clearance proposals - Irrigation Clearance /GAD Submission</t>
  </si>
  <si>
    <r>
      <rPr>
        <b/>
        <u/>
        <sz val="12"/>
        <color theme="1"/>
        <rFont val="Trebuchet MS"/>
        <family val="2"/>
      </rPr>
      <t>Highway</t>
    </r>
    <r>
      <rPr>
        <sz val="12"/>
        <color theme="1"/>
        <rFont val="Trebuchet MS"/>
        <family val="2"/>
      </rPr>
      <t xml:space="preserve"> :  Keyplan, Index, Hori. &amp; Vert. Curve Table, LSR, Centreline Coordinate, TBM List, Lane configuration/TCS Schedule, Typical cross sections, Plan-Profile, Road furniture plan, Junction improvement Drawing etc….</t>
    </r>
  </si>
  <si>
    <t xml:space="preserve">Submission of Performance security / Bank Guarantee/ FDR </t>
  </si>
  <si>
    <t xml:space="preserve">Collect hard copy of Submitted Performance security / Bank Guarantee/ FDR </t>
  </si>
  <si>
    <t>Renewal of Expired Performance security / Bank Guarantee/ FDR  and Collect Hard Copy</t>
  </si>
  <si>
    <t>Collect Hard copy of Signed Agreement</t>
  </si>
  <si>
    <t>Collect Team Compositon of of awarded Tender</t>
  </si>
  <si>
    <t>Collect Filled Schedule-B of awarded Tender</t>
  </si>
  <si>
    <t>Collect hard copy of Insurance Policy (As per tender requirement) i.e PL, PI &amp; WC Policy etc.</t>
  </si>
  <si>
    <t>Renewal of Expired Insurance Policy and Collect Hard Copy</t>
  </si>
  <si>
    <t>After Attending Meetings with authority or any respective other authority regarding Project. Prepare Minutes of Meeting and issued officially.</t>
  </si>
  <si>
    <t>Maintain Inward and Outward Letters</t>
  </si>
  <si>
    <t>Preparation and Submission of Extension of Time Limit Proposal</t>
  </si>
  <si>
    <t>Preparation and Submission of Excess / Extra Proposal, if any</t>
  </si>
  <si>
    <t>Kick-off Meeting with client &amp; preliminary Project site visit</t>
  </si>
  <si>
    <t xml:space="preserve">Conducting Traffic surveys </t>
  </si>
  <si>
    <t>Collection of Survey of India (SOI) Maps</t>
  </si>
  <si>
    <r>
      <rPr>
        <sz val="12"/>
        <color theme="0"/>
        <rFont val="Trebuchet MS"/>
        <family val="2"/>
      </rPr>
      <t>Submission of Clearance proposals</t>
    </r>
    <r>
      <rPr>
        <sz val="12"/>
        <rFont val="Trebuchet MS"/>
        <family val="2"/>
      </rPr>
      <t xml:space="preserve"> - Panchayat /GAD Submission</t>
    </r>
  </si>
  <si>
    <r>
      <rPr>
        <sz val="12"/>
        <color theme="0"/>
        <rFont val="Trebuchet MS"/>
        <family val="2"/>
      </rPr>
      <t>Submission of Clearance proposals</t>
    </r>
    <r>
      <rPr>
        <sz val="12"/>
        <rFont val="Trebuchet MS"/>
        <family val="2"/>
      </rPr>
      <t xml:space="preserve"> - NIT (GAD Submission) (Span&lt;= 60m)</t>
    </r>
  </si>
  <si>
    <r>
      <rPr>
        <sz val="12"/>
        <color theme="0"/>
        <rFont val="Trebuchet MS"/>
        <family val="2"/>
      </rPr>
      <t>Clearance Approval</t>
    </r>
    <r>
      <rPr>
        <sz val="12"/>
        <rFont val="Trebuchet MS"/>
        <family val="2"/>
      </rPr>
      <t xml:space="preserve"> - Panchayat / GAD Approval</t>
    </r>
  </si>
  <si>
    <r>
      <rPr>
        <sz val="12"/>
        <color theme="0"/>
        <rFont val="Trebuchet MS"/>
        <family val="2"/>
      </rPr>
      <t>Clearance Approval</t>
    </r>
    <r>
      <rPr>
        <sz val="12"/>
        <rFont val="Trebuchet MS"/>
        <family val="2"/>
      </rPr>
      <t xml:space="preserve"> - R&amp;B Design Circle (Span&gt;60m)</t>
    </r>
  </si>
  <si>
    <r>
      <rPr>
        <sz val="12"/>
        <color theme="0"/>
        <rFont val="Trebuchet MS"/>
        <family val="2"/>
      </rPr>
      <t>Clearance Approval</t>
    </r>
    <r>
      <rPr>
        <sz val="12"/>
        <rFont val="Trebuchet MS"/>
        <family val="2"/>
      </rPr>
      <t xml:space="preserve"> - NIT (GAD Submission) (Span&lt;= 60m)</t>
    </r>
  </si>
  <si>
    <r>
      <rPr>
        <sz val="12"/>
        <color theme="0"/>
        <rFont val="Trebuchet MS"/>
        <family val="2"/>
      </rPr>
      <t>Submission of Utility Shifting proposals</t>
    </r>
    <r>
      <rPr>
        <sz val="12"/>
        <rFont val="Trebuchet MS"/>
        <family val="2"/>
      </rPr>
      <t xml:space="preserve"> - LT Lines</t>
    </r>
  </si>
  <si>
    <r>
      <rPr>
        <sz val="12"/>
        <color theme="0"/>
        <rFont val="Trebuchet MS"/>
        <family val="2"/>
      </rPr>
      <t>Submission of Utility Shifting proposals</t>
    </r>
    <r>
      <rPr>
        <sz val="12"/>
        <rFont val="Trebuchet MS"/>
        <family val="2"/>
      </rPr>
      <t xml:space="preserve"> - HT Lines</t>
    </r>
  </si>
  <si>
    <r>
      <rPr>
        <sz val="12"/>
        <color theme="0"/>
        <rFont val="Trebuchet MS"/>
        <family val="2"/>
      </rPr>
      <t>Submission of Utility Shifting proposals</t>
    </r>
    <r>
      <rPr>
        <sz val="12"/>
        <rFont val="Trebuchet MS"/>
        <family val="2"/>
      </rPr>
      <t xml:space="preserve"> - EHT Lines</t>
    </r>
  </si>
  <si>
    <r>
      <rPr>
        <sz val="12"/>
        <color theme="0"/>
        <rFont val="Trebuchet MS"/>
        <family val="2"/>
      </rPr>
      <t>Submission of Utility Shifting proposals</t>
    </r>
    <r>
      <rPr>
        <sz val="12"/>
        <rFont val="Trebuchet MS"/>
        <family val="2"/>
      </rPr>
      <t xml:space="preserve"> - Water Pipeline</t>
    </r>
  </si>
  <si>
    <r>
      <rPr>
        <sz val="12"/>
        <color theme="0"/>
        <rFont val="Trebuchet MS"/>
        <family val="2"/>
      </rPr>
      <t>Submission of Utility Shifting proposals</t>
    </r>
    <r>
      <rPr>
        <sz val="12"/>
        <rFont val="Trebuchet MS"/>
        <family val="2"/>
      </rPr>
      <t xml:space="preserve"> - Sewage Line</t>
    </r>
  </si>
  <si>
    <r>
      <rPr>
        <sz val="12"/>
        <color theme="0"/>
        <rFont val="Trebuchet MS"/>
        <family val="2"/>
      </rPr>
      <t>Submission of Utility Shifting proposals</t>
    </r>
    <r>
      <rPr>
        <sz val="12"/>
        <rFont val="Trebuchet MS"/>
        <family val="2"/>
      </rPr>
      <t xml:space="preserve"> - Storm Water Line</t>
    </r>
  </si>
  <si>
    <r>
      <rPr>
        <sz val="12"/>
        <color theme="0"/>
        <rFont val="Trebuchet MS"/>
        <family val="2"/>
      </rPr>
      <t>Submission of Utility Shifting proposals</t>
    </r>
    <r>
      <rPr>
        <sz val="12"/>
        <rFont val="Trebuchet MS"/>
        <family val="2"/>
      </rPr>
      <t xml:space="preserve"> - Hand Pumps</t>
    </r>
  </si>
  <si>
    <r>
      <rPr>
        <sz val="12"/>
        <color theme="0"/>
        <rFont val="Trebuchet MS"/>
        <family val="2"/>
      </rPr>
      <t>Submission of Utility Shifting proposals</t>
    </r>
    <r>
      <rPr>
        <sz val="12"/>
        <rFont val="Trebuchet MS"/>
        <family val="2"/>
      </rPr>
      <t xml:space="preserve"> - OFC Line</t>
    </r>
  </si>
  <si>
    <r>
      <rPr>
        <sz val="12"/>
        <color theme="0"/>
        <rFont val="Trebuchet MS"/>
        <family val="2"/>
      </rPr>
      <t>Submission of Utility Shifting proposals</t>
    </r>
    <r>
      <rPr>
        <sz val="12"/>
        <rFont val="Trebuchet MS"/>
        <family val="2"/>
      </rPr>
      <t xml:space="preserve"> - Telephone Cable Line</t>
    </r>
  </si>
  <si>
    <r>
      <rPr>
        <sz val="12"/>
        <color theme="0"/>
        <rFont val="Trebuchet MS"/>
        <family val="2"/>
      </rPr>
      <t>Submission of Utility Shifting proposals</t>
    </r>
    <r>
      <rPr>
        <sz val="12"/>
        <rFont val="Trebuchet MS"/>
        <family val="2"/>
      </rPr>
      <t xml:space="preserve"> - GAS Line</t>
    </r>
  </si>
  <si>
    <r>
      <rPr>
        <sz val="12"/>
        <color theme="0"/>
        <rFont val="Trebuchet MS"/>
        <family val="2"/>
      </rPr>
      <t>Submission of Utility Shifting proposals</t>
    </r>
    <r>
      <rPr>
        <sz val="12"/>
        <rFont val="Trebuchet MS"/>
        <family val="2"/>
      </rPr>
      <t xml:space="preserve"> - CNG Line</t>
    </r>
  </si>
  <si>
    <r>
      <rPr>
        <sz val="12"/>
        <color theme="0"/>
        <rFont val="Trebuchet MS"/>
        <family val="2"/>
      </rPr>
      <t>Submission of Utility Shifting proposals</t>
    </r>
    <r>
      <rPr>
        <sz val="12"/>
        <rFont val="Trebuchet MS"/>
        <family val="2"/>
      </rPr>
      <t xml:space="preserve"> - Petrolium Line</t>
    </r>
  </si>
  <si>
    <r>
      <rPr>
        <sz val="12"/>
        <color theme="0"/>
        <rFont val="Trebuchet MS"/>
        <family val="2"/>
      </rPr>
      <t>Submission of Utility Shifting proposals</t>
    </r>
    <r>
      <rPr>
        <sz val="12"/>
        <rFont val="Trebuchet MS"/>
        <family val="2"/>
      </rPr>
      <t xml:space="preserve"> - Gantry Board</t>
    </r>
  </si>
  <si>
    <r>
      <rPr>
        <sz val="12"/>
        <color theme="0"/>
        <rFont val="Trebuchet MS"/>
        <family val="2"/>
      </rPr>
      <t>Submission of Utility Shifting proposals</t>
    </r>
    <r>
      <rPr>
        <sz val="12"/>
        <rFont val="Trebuchet MS"/>
        <family val="2"/>
      </rPr>
      <t xml:space="preserve"> - Hoarding Board</t>
    </r>
  </si>
  <si>
    <t xml:space="preserve"> - LT Lines</t>
  </si>
  <si>
    <t xml:space="preserve"> - HT Lines</t>
  </si>
  <si>
    <t xml:space="preserve"> - EHT Lines</t>
  </si>
  <si>
    <t xml:space="preserve"> - Water Pipeline</t>
  </si>
  <si>
    <t xml:space="preserve"> - Sewage Line</t>
  </si>
  <si>
    <t xml:space="preserve"> - Storm Water Line</t>
  </si>
  <si>
    <t xml:space="preserve"> - Hand Pumps</t>
  </si>
  <si>
    <t xml:space="preserve"> - OFC Line</t>
  </si>
  <si>
    <t xml:space="preserve"> - Telephone Cable Line</t>
  </si>
  <si>
    <t xml:space="preserve"> - GAS Line</t>
  </si>
  <si>
    <t xml:space="preserve"> - CNG Line</t>
  </si>
  <si>
    <t xml:space="preserve"> - Petrolium Line</t>
  </si>
  <si>
    <t xml:space="preserve"> - Gantry Board</t>
  </si>
  <si>
    <t xml:space="preserve"> - Hoarding Board</t>
  </si>
  <si>
    <t>Nilay Gandhi/Fakhruddin</t>
  </si>
  <si>
    <t>Submission of Utility-I Report &amp; Utility relocation plan /  Utility plan</t>
  </si>
  <si>
    <t>Prepared By</t>
  </si>
  <si>
    <t>DPR REPORTS &amp; APPROVAL AUTHORITY</t>
  </si>
  <si>
    <t>▪ Volume-I : Alignment Option Report</t>
  </si>
  <si>
    <t>Highway Enginner</t>
  </si>
  <si>
    <t>▪ Volume-II : Fesibility Report - Main Report</t>
  </si>
  <si>
    <t>Appendix-1: Traffic Report</t>
  </si>
  <si>
    <t>Appendix-2: NSV Report incl. Road inventory</t>
  </si>
  <si>
    <t>Appendix-3: FWD Report</t>
  </si>
  <si>
    <t>Appendix-4: Pavement Design Report (With alternative Design Options)</t>
  </si>
  <si>
    <t>Appendix-6: Black Spot Report / Safety Audit report (DPR Stage)</t>
  </si>
  <si>
    <t>Appendix-5: Economic and financial analysis report</t>
  </si>
  <si>
    <t>Appendix-7: Existing Structures Inventory &amp; Condition survey report</t>
  </si>
  <si>
    <t>Appendix-10: Material Report</t>
  </si>
  <si>
    <t>Appendix-8: Geo Technical Investigation report</t>
  </si>
  <si>
    <t>Appendix-9: Hydraulic &amp; Hydrological Investigation report</t>
  </si>
  <si>
    <t>Appendix-13: Block Estimate</t>
  </si>
  <si>
    <t>Appendix-11: Environmental Assessment Report including Environmental Management Plan (EMP) &amp; Resettlement Action Plan (RAP):</t>
  </si>
  <si>
    <t>Appendix-12: Rate Analysis</t>
  </si>
  <si>
    <t>Appendix-14: Preliminary land acquisition Details</t>
  </si>
  <si>
    <t>Client Approval by</t>
  </si>
  <si>
    <t>GDRPL Approval by</t>
  </si>
  <si>
    <t>Appendix-15: Alignment Drawings (P&amp;P, TCS only)</t>
  </si>
  <si>
    <t>TA (U)</t>
  </si>
  <si>
    <t>TA (C)</t>
  </si>
  <si>
    <t>LAC</t>
  </si>
  <si>
    <t xml:space="preserve">Appendix-1: 3(a) Gazzete Notifications &amp; 3(A) / 10A Proposal </t>
  </si>
  <si>
    <t>Appendix-2: Strip Plan / LA Plan</t>
  </si>
  <si>
    <t>Appendix-3: Estimated cost of Land Acquisition</t>
  </si>
  <si>
    <t>▪ Volume-I : LA I Report</t>
  </si>
  <si>
    <t>▪ Volume-II: Utility I Report</t>
  </si>
  <si>
    <t>▪ Volume-III: Clearance I Report</t>
  </si>
  <si>
    <t xml:space="preserve">Appendix-1: Submission of Utility Shifting Proposal </t>
  </si>
  <si>
    <t>Appendix-2: Utility Shifting plan with Detailed Utility statement</t>
  </si>
  <si>
    <t>Appendix-1: Submission of Necessary Clearance Proposal</t>
  </si>
  <si>
    <t>▪ Volume-I : LA II Report</t>
  </si>
  <si>
    <t>▪ Volume-II: Utility II Report</t>
  </si>
  <si>
    <t>▪ Volume-III: Clearance II Report</t>
  </si>
  <si>
    <r>
      <t xml:space="preserve">Appendix-1: 3(A) &amp; 3(D) Gazzete Notification </t>
    </r>
    <r>
      <rPr>
        <u/>
        <sz val="12"/>
        <color theme="1"/>
        <rFont val="Trebuchet MS"/>
        <family val="2"/>
      </rPr>
      <t>OR</t>
    </r>
    <r>
      <rPr>
        <sz val="12"/>
        <color theme="1"/>
        <rFont val="Trebuchet MS"/>
        <family val="2"/>
      </rPr>
      <t xml:space="preserve">  Publication of Section 10A, 11 &amp; 19</t>
    </r>
  </si>
  <si>
    <t>Appendix-3: Final Estimated cost of Land Acquisition</t>
  </si>
  <si>
    <t>Appendix-1: Submission of Utility Shifting Estimates</t>
  </si>
  <si>
    <t>Appendix-1: Submission of Final clearances Documents/Drawings received by competent authority</t>
  </si>
  <si>
    <t>Appendix-3: NO Upgradation Certificate</t>
  </si>
  <si>
    <t>Appendix-2: Final Utility Shifting plan with Detailed Utility statement</t>
  </si>
  <si>
    <t>Appendix-2: Final Strip Plan / LA Plan</t>
  </si>
  <si>
    <t xml:space="preserve">Volume-1: Main Report </t>
  </si>
  <si>
    <t>Volume-2: Design Report</t>
  </si>
  <si>
    <t>Appendix-4: Pavement Design Report (With Final Design among all Options)</t>
  </si>
  <si>
    <t xml:space="preserve">  Part-2: Design Base Report - Structure</t>
  </si>
  <si>
    <t xml:space="preserve">  Part-1: Design Base Report - Road</t>
  </si>
  <si>
    <t>Volume-3: Material Report</t>
  </si>
  <si>
    <t>Volume-4: Environmental Assessment Report including Environmental Management Plan (EMP) &amp; Resettlement Action Plan (RAP):</t>
  </si>
  <si>
    <t>Volume-5: Techincal Specification 
(Special technical specifications which are not covered by MOST Specifications)</t>
  </si>
  <si>
    <t>Volume-6: Rate Analysis</t>
  </si>
  <si>
    <t>Volume-7: Detailed Estimate</t>
  </si>
  <si>
    <t>Volume-8: BOQ</t>
  </si>
  <si>
    <t>Volume-10: Drainage Design Report</t>
  </si>
  <si>
    <t>Appendix-10: Drainage plan</t>
  </si>
  <si>
    <t>Nilay Gandhi / Fakhruddin</t>
  </si>
  <si>
    <t>Volume-9: Drawings</t>
  </si>
  <si>
    <r>
      <rPr>
        <b/>
        <u/>
        <sz val="12"/>
        <color theme="1"/>
        <rFont val="Trebuchet MS"/>
        <family val="2"/>
      </rPr>
      <t>Part-1 : Highway</t>
    </r>
    <r>
      <rPr>
        <sz val="12"/>
        <color theme="1"/>
        <rFont val="Trebuchet MS"/>
        <family val="2"/>
      </rPr>
      <t xml:space="preserve"> :  Keyplan, Index, Hori. &amp; Vert. Curve Table, LSR, Centreline Coordinate, TBM List, Lane configuration/TCS Schedule, Typical cross sections, Plan-Profile, Road furniture plan, Junction improvement Drawing etc….</t>
    </r>
  </si>
  <si>
    <r>
      <rPr>
        <b/>
        <u/>
        <sz val="12"/>
        <color theme="1"/>
        <rFont val="Trebuchet MS"/>
        <family val="2"/>
      </rPr>
      <t xml:space="preserve">Part-2 : Structure : </t>
    </r>
    <r>
      <rPr>
        <sz val="12"/>
        <color theme="1"/>
        <rFont val="Trebuchet MS"/>
        <family val="2"/>
      </rPr>
      <t>GADs, Protection work (Retaining wall/Toe wall/Gabion/Breast wall, Crash barrier etc….</t>
    </r>
  </si>
  <si>
    <r>
      <rPr>
        <b/>
        <u/>
        <sz val="12"/>
        <color theme="1"/>
        <rFont val="Trebuchet MS"/>
        <family val="2"/>
      </rPr>
      <t>Part-3 : Project Facility</t>
    </r>
    <r>
      <rPr>
        <sz val="12"/>
        <color theme="1"/>
        <rFont val="Trebuchet MS"/>
        <family val="2"/>
      </rPr>
      <t xml:space="preserve"> : Toll Plazas, Rest Area, Bus bays, Truck lay buys etc....</t>
    </r>
  </si>
  <si>
    <t>* NOTE: Follow DPR checklist-Feb-24 Stage-1 to 8 (Pavement / Structure) for respective Report and atteched Checklist in Report</t>
  </si>
  <si>
    <t xml:space="preserve">Inception Report &amp; QAP </t>
  </si>
  <si>
    <t>Exisitng Road Condition survey / NSV Survey (incl. Road inventory)</t>
  </si>
  <si>
    <t>Pavement Structural Strenth Survey / FWD Test</t>
  </si>
  <si>
    <t xml:space="preserve">Pavement Design Analysis (With Different Options) </t>
  </si>
  <si>
    <t>Existing Bridges, Culverts &amp; Structures Condition survey</t>
  </si>
  <si>
    <t>Collection &amp; Testing of Various materials &amp; Other locally availabe material / Material</t>
  </si>
  <si>
    <t>Submission of Draft Feasibility Report
(for Alignment recommend by DPR consultant)</t>
  </si>
  <si>
    <t>Identification of sub-surface utilities (Field Study) / GPR Survey</t>
  </si>
  <si>
    <t>Detailed Topographic Survey
(on Approved alignment / Deemed to be approved alignment)</t>
  </si>
  <si>
    <t>Draft Plan - Profile Design of Highway
(FRL as per Utility shifting owner need &amp; Clearances need)</t>
  </si>
  <si>
    <t xml:space="preserve">Finalised Proposed Strcuture list 
(Nos., Type, Span etc) (Inconsultation with Soil/Design/Hyd-RS wall dept.) </t>
  </si>
  <si>
    <t>Submission of Utility relocation/ Utility plan with Detailed Utility statement</t>
  </si>
  <si>
    <t>SFC Presentaion and DPR Presentation</t>
  </si>
  <si>
    <t>Presentation on Inception report</t>
  </si>
  <si>
    <t>Preparation of Traffic Report</t>
  </si>
  <si>
    <t>Feasibility Report incl. Alignment Option Report</t>
  </si>
  <si>
    <t>ACTIVITY CHECKLIST FOR DPR WORK</t>
  </si>
  <si>
    <t>DPR REPORT CHECKLIST</t>
  </si>
  <si>
    <t>NH8C</t>
  </si>
  <si>
    <t>Kerala NH766</t>
  </si>
  <si>
    <t xml:space="preserve">Pardi Kaprada NH848 </t>
  </si>
  <si>
    <t>Khokhra NH58</t>
  </si>
  <si>
    <t>VUDA TP-22 PMC</t>
  </si>
  <si>
    <t>Rajpipla bypass</t>
  </si>
  <si>
    <t>Palanpur bypass</t>
  </si>
  <si>
    <t>VUDA Ring Road PMC</t>
  </si>
  <si>
    <t>Andhra NH216 PMC</t>
  </si>
  <si>
    <t>Coimbatore</t>
  </si>
  <si>
    <t>Madurai Bypass</t>
  </si>
  <si>
    <t>Nagaland PMC</t>
  </si>
  <si>
    <t>Surat - Sachin</t>
  </si>
  <si>
    <t>Vadodara - SOU</t>
  </si>
  <si>
    <t>Assam NH427 PMC</t>
  </si>
  <si>
    <t xml:space="preserve">Amod Dahej </t>
  </si>
  <si>
    <t>VUDA Flyover PMC</t>
  </si>
  <si>
    <t>NH 329A PMC</t>
  </si>
  <si>
    <t>VUDA Green Road PMC</t>
  </si>
  <si>
    <t>Ank-Rajpipla</t>
  </si>
  <si>
    <t>NH 64</t>
  </si>
  <si>
    <t>Checked By</t>
  </si>
  <si>
    <t>Project Co-Ordinator</t>
  </si>
  <si>
    <t>Seema medam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</si>
</sst>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0.0"/>
  </numFmts>
  <fonts count="41" x14ac:knownFonts="1">
    <font>
      <sz val="11"/>
      <color theme="1"/>
      <name val="Calibri"/>
      <family val="2"/>
      <scheme val="minor"/>
    </font>
    <font>
      <sz val="12"/>
      <color theme="1"/>
      <name val="Times New Roman"/>
      <family val="1"/>
    </font>
    <font>
      <b/>
      <sz val="12"/>
      <color theme="1"/>
      <name val="Times New Roman"/>
      <family val="1"/>
    </font>
    <font>
      <b/>
      <i/>
      <u/>
      <sz val="20"/>
      <color theme="1"/>
      <name val="Times New Roman"/>
      <family val="1"/>
    </font>
    <font>
      <sz val="11"/>
      <color theme="1"/>
      <name val="Calibri"/>
      <family val="2"/>
      <scheme val="minor"/>
    </font>
    <font>
      <b/>
      <i/>
      <sz val="12"/>
      <color theme="1"/>
      <name val="Times New Roman"/>
      <family val="1"/>
    </font>
    <font>
      <b/>
      <i/>
      <u/>
      <sz val="12"/>
      <color theme="1"/>
      <name val="Times New Roman"/>
      <family val="1"/>
    </font>
    <font>
      <sz val="11"/>
      <color theme="1"/>
      <name val="Times New Roman"/>
      <family val="1"/>
    </font>
    <font>
      <sz val="12"/>
      <color theme="0"/>
      <name val="Times New Roman"/>
      <family val="1"/>
    </font>
    <font>
      <sz val="11"/>
      <color theme="1"/>
      <name val="Trebuchet MS"/>
      <family val="2"/>
    </font>
    <font>
      <sz val="11"/>
      <name val="Trebuchet MS"/>
      <family val="2"/>
    </font>
    <font>
      <b/>
      <sz val="11"/>
      <name val="Trebuchet MS"/>
      <family val="2"/>
    </font>
    <font>
      <b/>
      <sz val="11"/>
      <color theme="1"/>
      <name val="Trebuchet MS"/>
      <family val="2"/>
    </font>
    <font>
      <b/>
      <sz val="12"/>
      <color theme="1"/>
      <name val="Trebuchet MS"/>
      <family val="2"/>
    </font>
    <font>
      <u/>
      <sz val="11"/>
      <color theme="1"/>
      <name val="Trebuchet MS"/>
      <family val="2"/>
    </font>
    <font>
      <b/>
      <sz val="14"/>
      <color theme="1"/>
      <name val="Trebuchet MS"/>
      <family val="2"/>
    </font>
    <font>
      <sz val="10"/>
      <color theme="1"/>
      <name val="Trebuchet MS"/>
      <family val="2"/>
    </font>
    <font>
      <b/>
      <sz val="11"/>
      <color theme="1"/>
      <name val="Calibri"/>
      <family val="2"/>
      <scheme val="minor"/>
    </font>
    <font>
      <sz val="12"/>
      <color theme="1"/>
      <name val="Trebuchet MS"/>
      <family val="2"/>
    </font>
    <font>
      <sz val="9"/>
      <color theme="1"/>
      <name val="Trebuchet MS"/>
      <family val="2"/>
    </font>
    <font>
      <b/>
      <u/>
      <sz val="12"/>
      <color theme="1"/>
      <name val="Trebuchet MS"/>
      <family val="2"/>
    </font>
    <font>
      <sz val="8"/>
      <name val="Calibri"/>
      <family val="2"/>
      <scheme val="minor"/>
    </font>
    <font>
      <i/>
      <sz val="12"/>
      <color theme="1"/>
      <name val="Times New Roman"/>
      <family val="1"/>
    </font>
    <font>
      <b/>
      <sz val="14"/>
      <color theme="1"/>
      <name val="Times New Roman"/>
      <family val="1"/>
    </font>
    <font>
      <sz val="10"/>
      <color theme="1"/>
      <name val="Times New Roman"/>
      <family val="1"/>
    </font>
    <font>
      <b/>
      <sz val="11"/>
      <color theme="1"/>
      <name val="Times New Roman"/>
      <family val="1"/>
    </font>
    <font>
      <b/>
      <u/>
      <sz val="12"/>
      <color theme="1"/>
      <name val="Times New Roman"/>
      <family val="1"/>
    </font>
    <font>
      <b/>
      <sz val="18"/>
      <color theme="1"/>
      <name val="Trebuchet MS"/>
      <family val="2"/>
    </font>
    <font>
      <sz val="7.5"/>
      <color theme="1"/>
      <name val="Times New Roman"/>
      <family val="1"/>
    </font>
    <font>
      <u/>
      <sz val="12"/>
      <color theme="1"/>
      <name val="Trebuchet MS"/>
      <family val="2"/>
    </font>
    <font>
      <strike/>
      <sz val="10"/>
      <color theme="1"/>
      <name val="Trebuchet MS"/>
      <family val="2"/>
    </font>
    <font>
      <strike/>
      <sz val="9"/>
      <color theme="1"/>
      <name val="Trebuchet MS"/>
      <family val="2"/>
    </font>
    <font>
      <sz val="10.5"/>
      <color theme="1"/>
      <name val="Trebuchet MS"/>
      <family val="2"/>
    </font>
    <font>
      <b/>
      <sz val="12"/>
      <name val="Trebuchet MS"/>
      <family val="2"/>
    </font>
    <font>
      <sz val="12"/>
      <name val="Trebuchet MS"/>
      <family val="2"/>
    </font>
    <font>
      <sz val="12"/>
      <color theme="0"/>
      <name val="Trebuchet MS"/>
      <family val="2"/>
    </font>
    <font>
      <b/>
      <u/>
      <sz val="12"/>
      <name val="Trebuchet MS"/>
      <family val="2"/>
    </font>
    <font>
      <b/>
      <sz val="16"/>
      <name val="Trebuchet MS"/>
      <family val="2"/>
    </font>
    <font>
      <b/>
      <sz val="22"/>
      <color theme="1"/>
      <name val="Trebuchet MS"/>
      <family val="2"/>
    </font>
    <font>
      <i/>
      <u/>
      <sz val="12"/>
      <color theme="1"/>
      <name val="Trebuchet MS"/>
      <family val="2"/>
    </font>
    <font>
      <sz val="22"/>
      <color theme="1"/>
      <name val="Trebuchet MS"/>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303">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3" xfId="0" applyFont="1" applyBorder="1" applyAlignment="1">
      <alignment vertical="center"/>
    </xf>
    <xf numFmtId="0" fontId="1" fillId="0" borderId="0" xfId="0" applyFont="1"/>
    <xf numFmtId="0" fontId="2" fillId="0" borderId="0" xfId="0" applyFont="1" applyAlignment="1">
      <alignment horizontal="right" vertical="center"/>
    </xf>
    <xf numFmtId="0" fontId="1" fillId="0" borderId="0" xfId="0" applyFont="1" applyAlignment="1">
      <alignment horizontal="right"/>
    </xf>
    <xf numFmtId="0" fontId="1" fillId="0" borderId="2" xfId="0" applyFont="1" applyBorder="1" applyAlignment="1">
      <alignment vertical="center"/>
    </xf>
    <xf numFmtId="0" fontId="2" fillId="0" borderId="0" xfId="0" applyFont="1"/>
    <xf numFmtId="0" fontId="5" fillId="2" borderId="1" xfId="0" applyFont="1" applyFill="1" applyBorder="1" applyAlignment="1">
      <alignment horizontal="center"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5" fillId="0" borderId="0" xfId="0" applyFont="1" applyAlignment="1">
      <alignment horizontal="center" vertical="center"/>
    </xf>
    <xf numFmtId="0" fontId="2" fillId="0" borderId="6" xfId="0" applyFont="1" applyBorder="1" applyAlignment="1">
      <alignment horizontal="right" vertical="top"/>
    </xf>
    <xf numFmtId="0" fontId="2" fillId="0" borderId="7" xfId="0" applyFont="1" applyBorder="1" applyAlignment="1">
      <alignment horizontal="right" vertical="top"/>
    </xf>
    <xf numFmtId="0" fontId="2" fillId="0" borderId="5" xfId="0" applyFont="1" applyBorder="1" applyAlignment="1">
      <alignment horizontal="right" vertical="top"/>
    </xf>
    <xf numFmtId="0" fontId="1" fillId="0" borderId="9" xfId="0" applyFont="1" applyBorder="1" applyAlignment="1">
      <alignment horizontal="right"/>
    </xf>
    <xf numFmtId="0" fontId="1" fillId="0" borderId="10" xfId="0" applyFont="1" applyBorder="1" applyAlignment="1">
      <alignment horizontal="right"/>
    </xf>
    <xf numFmtId="0" fontId="6" fillId="0" borderId="2" xfId="0" applyFont="1" applyBorder="1" applyAlignment="1">
      <alignment vertical="center"/>
    </xf>
    <xf numFmtId="0" fontId="2" fillId="0" borderId="9" xfId="0" quotePrefix="1" applyFont="1" applyBorder="1" applyAlignment="1">
      <alignment horizontal="right"/>
    </xf>
    <xf numFmtId="0" fontId="2" fillId="0" borderId="8" xfId="0" quotePrefix="1" applyFont="1" applyBorder="1" applyAlignment="1">
      <alignment horizontal="right"/>
    </xf>
    <xf numFmtId="0" fontId="2" fillId="0" borderId="10" xfId="0" quotePrefix="1" applyFont="1" applyBorder="1" applyAlignment="1">
      <alignment horizontal="right"/>
    </xf>
    <xf numFmtId="0" fontId="2" fillId="0" borderId="2" xfId="0" applyFont="1" applyBorder="1" applyAlignment="1">
      <alignment horizontal="center"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5" fillId="2" borderId="6" xfId="0" applyFont="1" applyFill="1" applyBorder="1" applyAlignment="1">
      <alignment horizontal="center" vertical="center"/>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2" fillId="0" borderId="7" xfId="0" quotePrefix="1" applyFont="1" applyBorder="1" applyAlignment="1">
      <alignment horizontal="right"/>
    </xf>
    <xf numFmtId="0" fontId="1" fillId="0" borderId="7" xfId="0" applyFont="1" applyBorder="1" applyAlignment="1">
      <alignment horizontal="right"/>
    </xf>
    <xf numFmtId="0" fontId="2" fillId="0" borderId="9" xfId="0" applyFont="1" applyBorder="1" applyAlignment="1">
      <alignment horizontal="right" vertical="top"/>
    </xf>
    <xf numFmtId="0" fontId="1" fillId="0" borderId="8" xfId="0" applyFont="1" applyBorder="1" applyAlignment="1">
      <alignment horizontal="left" vertical="center"/>
    </xf>
    <xf numFmtId="0" fontId="1" fillId="0" borderId="3" xfId="0" applyFont="1" applyBorder="1" applyAlignment="1">
      <alignment vertical="center" wrapText="1"/>
    </xf>
    <xf numFmtId="0" fontId="1" fillId="0" borderId="3" xfId="0" applyFont="1" applyBorder="1" applyAlignment="1">
      <alignment vertical="center"/>
    </xf>
    <xf numFmtId="0" fontId="1" fillId="0" borderId="1" xfId="0" applyFont="1" applyBorder="1" applyAlignment="1">
      <alignment horizontal="left" vertical="center" wrapText="1"/>
    </xf>
    <xf numFmtId="0" fontId="8" fillId="0" borderId="0" xfId="0" applyFont="1" applyAlignment="1">
      <alignment horizontal="center" vertical="center"/>
    </xf>
    <xf numFmtId="9" fontId="8" fillId="0" borderId="0" xfId="1" applyFont="1" applyAlignment="1">
      <alignment horizontal="center" vertical="center"/>
    </xf>
    <xf numFmtId="9" fontId="8" fillId="0" borderId="0" xfId="1" applyFont="1"/>
    <xf numFmtId="0" fontId="8" fillId="0" borderId="0" xfId="0" applyFont="1"/>
    <xf numFmtId="9" fontId="1" fillId="0" borderId="0" xfId="1" applyFont="1"/>
    <xf numFmtId="0" fontId="5" fillId="2" borderId="3"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vertical="center"/>
    </xf>
    <xf numFmtId="0" fontId="1" fillId="0" borderId="1" xfId="0" applyFont="1" applyBorder="1" applyAlignment="1">
      <alignment horizontal="center" vertical="center"/>
    </xf>
    <xf numFmtId="9" fontId="1" fillId="0" borderId="1" xfId="1" applyFont="1" applyBorder="1" applyAlignment="1">
      <alignment horizontal="center" vertical="center"/>
    </xf>
    <xf numFmtId="0" fontId="1" fillId="0" borderId="1" xfId="0" applyFont="1" applyBorder="1" applyAlignment="1">
      <alignment horizontal="center" vertical="center" wrapText="1"/>
    </xf>
    <xf numFmtId="0" fontId="6" fillId="0" borderId="3" xfId="0" applyFont="1" applyBorder="1" applyAlignment="1">
      <alignment vertical="center"/>
    </xf>
    <xf numFmtId="0" fontId="6" fillId="0" borderId="4"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16" fontId="1" fillId="0" borderId="1" xfId="0" applyNumberFormat="1" applyFont="1" applyBorder="1" applyAlignment="1">
      <alignment horizontal="center" vertical="center"/>
    </xf>
    <xf numFmtId="0" fontId="5" fillId="2" borderId="4" xfId="0" applyFont="1" applyFill="1" applyBorder="1" applyAlignment="1">
      <alignment horizontal="right"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xf>
    <xf numFmtId="0" fontId="1" fillId="0" borderId="11" xfId="0" applyFont="1" applyBorder="1" applyAlignment="1">
      <alignment horizontal="center" vertical="center" wrapText="1"/>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2" fillId="0" borderId="3" xfId="0" applyFont="1" applyBorder="1" applyAlignment="1">
      <alignment vertical="center" wrapText="1"/>
    </xf>
    <xf numFmtId="0" fontId="2" fillId="0" borderId="2" xfId="0" applyFont="1" applyBorder="1" applyAlignment="1">
      <alignment vertical="center"/>
    </xf>
    <xf numFmtId="0" fontId="1" fillId="0" borderId="2" xfId="0" applyFont="1" applyBorder="1" applyAlignment="1">
      <alignment vertical="center" wrapText="1"/>
    </xf>
    <xf numFmtId="0" fontId="2" fillId="0" borderId="4" xfId="0" applyFont="1" applyBorder="1" applyAlignment="1">
      <alignment horizontal="right" vertical="center"/>
    </xf>
    <xf numFmtId="0" fontId="9" fillId="0" borderId="1" xfId="0" applyFont="1" applyBorder="1" applyAlignment="1">
      <alignment vertical="center" wrapText="1"/>
    </xf>
    <xf numFmtId="0" fontId="1" fillId="0" borderId="3" xfId="0" applyFont="1" applyBorder="1" applyAlignment="1">
      <alignment horizontal="left" vertical="center" wrapText="1"/>
    </xf>
    <xf numFmtId="0" fontId="9" fillId="0" borderId="0" xfId="0" applyFont="1" applyAlignment="1">
      <alignment vertical="center" wrapText="1"/>
    </xf>
    <xf numFmtId="0" fontId="9" fillId="0" borderId="0" xfId="0" applyFont="1" applyAlignment="1">
      <alignment horizontal="left" vertical="center" wrapText="1"/>
    </xf>
    <xf numFmtId="0" fontId="9" fillId="0" borderId="0" xfId="0" applyFont="1" applyAlignment="1">
      <alignment horizontal="left" vertical="center" wrapText="1" indent="2"/>
    </xf>
    <xf numFmtId="0" fontId="9" fillId="0" borderId="0" xfId="0" applyFont="1" applyAlignment="1">
      <alignment horizontal="left" vertical="center" wrapText="1" indent="4"/>
    </xf>
    <xf numFmtId="0" fontId="14" fillId="0" borderId="0" xfId="0" applyFont="1" applyAlignment="1">
      <alignment vertical="center" wrapText="1"/>
    </xf>
    <xf numFmtId="0" fontId="9" fillId="0" borderId="1" xfId="0" applyFont="1" applyBorder="1" applyAlignment="1">
      <alignment horizontal="left" vertical="center" wrapText="1" indent="2"/>
    </xf>
    <xf numFmtId="0" fontId="9" fillId="0" borderId="1" xfId="0" applyFont="1" applyBorder="1" applyAlignment="1">
      <alignment horizontal="left" vertical="center" wrapText="1" indent="4"/>
    </xf>
    <xf numFmtId="0" fontId="9" fillId="0" borderId="3" xfId="0" applyFont="1" applyBorder="1" applyAlignment="1">
      <alignment vertical="center" wrapText="1"/>
    </xf>
    <xf numFmtId="0" fontId="9" fillId="0" borderId="1" xfId="0" applyFont="1" applyBorder="1" applyAlignment="1">
      <alignment horizontal="left" vertical="center" wrapText="1" inden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14" fillId="3" borderId="1" xfId="0" applyFont="1" applyFill="1" applyBorder="1" applyAlignment="1">
      <alignment vertical="center" wrapText="1"/>
    </xf>
    <xf numFmtId="0" fontId="0" fillId="0" borderId="0" xfId="0"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18" fillId="0" borderId="1" xfId="0" applyFont="1" applyBorder="1" applyAlignment="1">
      <alignment horizontal="left" vertical="center" wrapText="1" indent="1"/>
    </xf>
    <xf numFmtId="0" fontId="18" fillId="0" borderId="1" xfId="0" applyFont="1" applyBorder="1" applyAlignment="1">
      <alignment horizontal="left" vertical="center" wrapText="1" indent="2"/>
    </xf>
    <xf numFmtId="0" fontId="13" fillId="2" borderId="4" xfId="0" applyFont="1" applyFill="1" applyBorder="1" applyAlignment="1">
      <alignment horizontal="center" vertical="center" wrapText="1"/>
    </xf>
    <xf numFmtId="0" fontId="1" fillId="0" borderId="2" xfId="0" applyFont="1" applyBorder="1" applyAlignment="1">
      <alignment horizontal="left" vertical="center" indent="6"/>
    </xf>
    <xf numFmtId="164" fontId="18" fillId="0" borderId="4" xfId="1" applyNumberFormat="1" applyFont="1" applyBorder="1" applyAlignment="1">
      <alignment horizontal="center" vertical="center" wrapText="1"/>
    </xf>
    <xf numFmtId="9" fontId="8" fillId="0" borderId="0" xfId="1" applyFont="1" applyFill="1" applyAlignment="1">
      <alignment horizontal="center" vertical="center"/>
    </xf>
    <xf numFmtId="9" fontId="1" fillId="0" borderId="0" xfId="1" applyFont="1" applyFill="1"/>
    <xf numFmtId="9" fontId="8" fillId="0" borderId="0" xfId="1" applyFont="1" applyFill="1"/>
    <xf numFmtId="9" fontId="1" fillId="0" borderId="1" xfId="1" applyFont="1" applyFill="1" applyBorder="1" applyAlignment="1">
      <alignment horizontal="center" vertical="center"/>
    </xf>
    <xf numFmtId="0" fontId="22" fillId="0" borderId="3" xfId="0" applyFont="1" applyBorder="1" applyAlignment="1">
      <alignment horizontal="left" vertical="center"/>
    </xf>
    <xf numFmtId="0" fontId="1" fillId="0" borderId="1" xfId="0" applyFont="1" applyBorder="1" applyAlignment="1">
      <alignment vertical="center"/>
    </xf>
    <xf numFmtId="0" fontId="22" fillId="0" borderId="1" xfId="0" applyFont="1" applyBorder="1" applyAlignment="1">
      <alignment horizontal="left" vertical="center"/>
    </xf>
    <xf numFmtId="0" fontId="1" fillId="0" borderId="2" xfId="0" applyFont="1" applyBorder="1" applyAlignment="1">
      <alignment horizontal="left" vertical="center" wrapText="1" indent="2"/>
    </xf>
    <xf numFmtId="0" fontId="2" fillId="0" borderId="2" xfId="0" applyFont="1" applyBorder="1" applyAlignment="1">
      <alignment horizontal="left" vertical="center" indent="2"/>
    </xf>
    <xf numFmtId="0" fontId="2" fillId="0" borderId="3" xfId="0" applyFont="1" applyBorder="1" applyAlignment="1">
      <alignment horizontal="left" vertical="center" indent="2"/>
    </xf>
    <xf numFmtId="0" fontId="22" fillId="0" borderId="1" xfId="0" applyFont="1" applyBorder="1" applyAlignment="1">
      <alignment horizontal="left" vertical="center" wrapText="1"/>
    </xf>
    <xf numFmtId="0" fontId="1" fillId="0" borderId="2" xfId="0" applyFont="1" applyBorder="1" applyAlignment="1">
      <alignment horizontal="left" vertical="center" wrapText="1" indent="3"/>
    </xf>
    <xf numFmtId="0" fontId="1" fillId="0" borderId="2" xfId="0" applyFont="1" applyBorder="1" applyAlignment="1">
      <alignment horizontal="left" vertical="top" wrapText="1" indent="3"/>
    </xf>
    <xf numFmtId="0" fontId="1" fillId="0" borderId="2" xfId="0" applyFont="1" applyBorder="1" applyAlignment="1">
      <alignment horizontal="left" vertical="center" indent="3"/>
    </xf>
    <xf numFmtId="0" fontId="1" fillId="0" borderId="2" xfId="0" applyFont="1" applyBorder="1" applyAlignment="1">
      <alignment horizontal="left" vertical="center" indent="4"/>
    </xf>
    <xf numFmtId="0" fontId="1" fillId="0" borderId="7" xfId="0" applyFont="1" applyBorder="1" applyAlignment="1">
      <alignment horizontal="center" vertical="center" wrapText="1"/>
    </xf>
    <xf numFmtId="0" fontId="1" fillId="0" borderId="2" xfId="0" applyFont="1" applyBorder="1" applyAlignment="1">
      <alignment horizontal="left" vertical="center" indent="1"/>
    </xf>
    <xf numFmtId="0" fontId="1" fillId="0" borderId="2" xfId="0" applyFont="1" applyBorder="1" applyAlignment="1">
      <alignment horizontal="left" vertical="center" indent="2"/>
    </xf>
    <xf numFmtId="0" fontId="1" fillId="0" borderId="1" xfId="0" applyFont="1" applyBorder="1" applyAlignment="1">
      <alignment horizontal="left" vertical="center" indent="2"/>
    </xf>
    <xf numFmtId="0" fontId="2" fillId="0" borderId="10" xfId="0" applyFont="1" applyBorder="1" applyAlignment="1">
      <alignment horizontal="right" vertical="top"/>
    </xf>
    <xf numFmtId="0" fontId="2" fillId="0" borderId="8" xfId="0" applyFont="1" applyBorder="1" applyAlignment="1">
      <alignment horizontal="right" vertical="top"/>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13"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8" fillId="0" borderId="1" xfId="0" applyFont="1" applyBorder="1" applyAlignment="1">
      <alignment horizontal="right" vertical="center"/>
    </xf>
    <xf numFmtId="2" fontId="18" fillId="0" borderId="1" xfId="0" applyNumberFormat="1" applyFont="1" applyBorder="1" applyAlignment="1">
      <alignment horizontal="right" vertical="center"/>
    </xf>
    <xf numFmtId="0" fontId="13" fillId="0" borderId="1" xfId="0" applyFont="1" applyBorder="1" applyAlignment="1">
      <alignment vertical="center"/>
    </xf>
    <xf numFmtId="0" fontId="13" fillId="0" borderId="0" xfId="0" applyFont="1" applyAlignment="1">
      <alignment vertical="center"/>
    </xf>
    <xf numFmtId="0" fontId="18" fillId="0" borderId="1" xfId="0" applyFont="1" applyBorder="1" applyAlignment="1">
      <alignment horizontal="left" vertical="center" indent="3"/>
    </xf>
    <xf numFmtId="0" fontId="18" fillId="0" borderId="1" xfId="0" applyFont="1" applyBorder="1" applyAlignment="1">
      <alignment horizontal="left" vertical="center" wrapText="1" indent="3"/>
    </xf>
    <xf numFmtId="0" fontId="18" fillId="0" borderId="1" xfId="0" applyFont="1" applyBorder="1" applyAlignment="1">
      <alignment horizontal="left" vertical="center" indent="4"/>
    </xf>
    <xf numFmtId="0" fontId="18" fillId="0" borderId="1" xfId="0" applyFont="1" applyBorder="1" applyAlignment="1">
      <alignment horizontal="left" vertical="center" wrapText="1" indent="4"/>
    </xf>
    <xf numFmtId="0" fontId="2" fillId="0" borderId="1" xfId="0" applyFont="1" applyBorder="1" applyAlignment="1">
      <alignment vertical="center"/>
    </xf>
    <xf numFmtId="0" fontId="2" fillId="2" borderId="2" xfId="0" applyFont="1" applyFill="1" applyBorder="1" applyAlignment="1">
      <alignment horizontal="center" vertical="center" wrapText="1"/>
    </xf>
    <xf numFmtId="0" fontId="5" fillId="2" borderId="3" xfId="0" applyFont="1" applyFill="1" applyBorder="1" applyAlignment="1">
      <alignment horizontal="right" vertical="center"/>
    </xf>
    <xf numFmtId="0" fontId="1" fillId="0" borderId="8" xfId="0" applyFont="1" applyBorder="1" applyAlignment="1">
      <alignment horizontal="center" vertical="center"/>
    </xf>
    <xf numFmtId="0" fontId="1" fillId="0" borderId="9" xfId="0" applyFont="1" applyBorder="1" applyAlignment="1">
      <alignment horizontal="center" vertical="center" wrapText="1"/>
    </xf>
    <xf numFmtId="0" fontId="28"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2" fillId="0" borderId="3" xfId="0" applyFont="1" applyBorder="1" applyAlignment="1">
      <alignment horizontal="right" vertical="center"/>
    </xf>
    <xf numFmtId="0" fontId="24" fillId="0" borderId="2" xfId="0" applyFont="1" applyBorder="1" applyAlignment="1">
      <alignment horizontal="center" vertical="center" wrapText="1"/>
    </xf>
    <xf numFmtId="0" fontId="1" fillId="0" borderId="8" xfId="0" applyFont="1" applyBorder="1" applyAlignment="1">
      <alignment vertical="center"/>
    </xf>
    <xf numFmtId="0" fontId="1" fillId="0" borderId="2" xfId="0" applyFont="1" applyBorder="1" applyAlignment="1">
      <alignment horizontal="left" vertical="top" wrapText="1"/>
    </xf>
    <xf numFmtId="165" fontId="2" fillId="0" borderId="0" xfId="2" applyNumberFormat="1" applyFont="1" applyAlignment="1">
      <alignment vertical="center"/>
    </xf>
    <xf numFmtId="0" fontId="18" fillId="0" borderId="0" xfId="0" applyFont="1"/>
    <xf numFmtId="0" fontId="18" fillId="0" borderId="0" xfId="0" applyFont="1" applyAlignment="1">
      <alignment horizontal="center"/>
    </xf>
    <xf numFmtId="0" fontId="33" fillId="2" borderId="1" xfId="0" applyFont="1" applyFill="1" applyBorder="1" applyAlignment="1">
      <alignment horizontal="center" vertical="center"/>
    </xf>
    <xf numFmtId="0" fontId="34" fillId="0" borderId="1" xfId="0" applyFont="1" applyBorder="1" applyAlignment="1">
      <alignment horizontal="left" vertical="center" wrapText="1"/>
    </xf>
    <xf numFmtId="0" fontId="36" fillId="0" borderId="1" xfId="0" applyFont="1" applyBorder="1" applyAlignment="1">
      <alignment horizontal="left" vertical="center" wrapText="1"/>
    </xf>
    <xf numFmtId="0" fontId="34" fillId="0" borderId="1" xfId="0" applyFont="1" applyBorder="1" applyAlignment="1">
      <alignment horizontal="center" vertical="center"/>
    </xf>
    <xf numFmtId="0" fontId="35" fillId="0" borderId="1" xfId="0" applyFont="1" applyBorder="1" applyAlignment="1">
      <alignment horizontal="center" vertical="center"/>
    </xf>
    <xf numFmtId="0" fontId="33" fillId="0" borderId="1" xfId="0" applyFont="1" applyBorder="1" applyAlignment="1">
      <alignment horizontal="center" vertical="center"/>
    </xf>
    <xf numFmtId="0" fontId="13" fillId="0" borderId="0" xfId="0" applyFont="1" applyAlignment="1">
      <alignment horizontal="right"/>
    </xf>
    <xf numFmtId="0" fontId="34" fillId="0" borderId="1" xfId="0" applyFont="1" applyBorder="1" applyAlignment="1">
      <alignment horizontal="left" vertical="center" wrapText="1" indent="3"/>
    </xf>
    <xf numFmtId="0" fontId="34" fillId="0" borderId="1" xfId="0" applyFont="1" applyBorder="1" applyAlignment="1">
      <alignment horizontal="left" vertical="center" wrapText="1" indent="24"/>
    </xf>
    <xf numFmtId="0" fontId="18" fillId="0" borderId="6" xfId="0" applyFont="1" applyBorder="1" applyAlignment="1">
      <alignment horizontal="center" vertical="center" wrapText="1"/>
    </xf>
    <xf numFmtId="0" fontId="18" fillId="0" borderId="2" xfId="0" applyFont="1" applyBorder="1" applyAlignment="1">
      <alignment horizontal="center" vertical="center"/>
    </xf>
    <xf numFmtId="0" fontId="39" fillId="0" borderId="1" xfId="0" applyFont="1" applyBorder="1" applyAlignment="1">
      <alignment vertical="center"/>
    </xf>
    <xf numFmtId="0" fontId="39" fillId="0" borderId="2" xfId="0" applyFont="1" applyBorder="1" applyAlignment="1">
      <alignment vertical="center"/>
    </xf>
    <xf numFmtId="0" fontId="18" fillId="0" borderId="1" xfId="0" applyFont="1" applyBorder="1" applyAlignment="1">
      <alignment horizontal="left" vertical="center" indent="7"/>
    </xf>
    <xf numFmtId="164" fontId="18" fillId="0" borderId="4" xfId="1" applyNumberFormat="1" applyFont="1" applyFill="1" applyBorder="1" applyAlignment="1">
      <alignment horizontal="center" vertical="center" wrapText="1"/>
    </xf>
    <xf numFmtId="0" fontId="18" fillId="0" borderId="0" xfId="0" quotePrefix="1" applyFont="1" applyAlignment="1">
      <alignment horizontal="left" vertical="center"/>
    </xf>
    <xf numFmtId="0" fontId="13" fillId="0" borderId="13" xfId="0" applyFont="1" applyBorder="1" applyAlignment="1">
      <alignment horizontal="center" vertical="center"/>
    </xf>
    <xf numFmtId="0" fontId="18" fillId="0" borderId="18" xfId="0" applyFont="1" applyBorder="1" applyAlignment="1">
      <alignment horizontal="right" vertical="center"/>
    </xf>
    <xf numFmtId="0" fontId="18" fillId="0" borderId="23" xfId="0" applyFont="1" applyBorder="1" applyAlignment="1">
      <alignment horizontal="left" vertical="center" indent="3"/>
    </xf>
    <xf numFmtId="0" fontId="13" fillId="0" borderId="28" xfId="0" applyFont="1" applyBorder="1" applyAlignment="1">
      <alignment horizontal="center" vertical="center"/>
    </xf>
    <xf numFmtId="0" fontId="13" fillId="0" borderId="29" xfId="0" applyFont="1" applyBorder="1" applyAlignment="1">
      <alignment vertical="center"/>
    </xf>
    <xf numFmtId="0" fontId="13" fillId="0" borderId="30" xfId="0" applyFont="1" applyBorder="1" applyAlignment="1">
      <alignment horizontal="center" vertical="center" wrapText="1"/>
    </xf>
    <xf numFmtId="164" fontId="13" fillId="0" borderId="31" xfId="1" applyNumberFormat="1" applyFont="1" applyBorder="1" applyAlignment="1">
      <alignment horizontal="center" vertical="center" wrapText="1"/>
    </xf>
    <xf numFmtId="0" fontId="13" fillId="0" borderId="32" xfId="0" applyFont="1" applyBorder="1" applyAlignment="1">
      <alignment horizontal="center" vertical="center" wrapText="1"/>
    </xf>
    <xf numFmtId="164" fontId="13" fillId="0" borderId="31" xfId="1" quotePrefix="1" applyNumberFormat="1" applyFont="1" applyBorder="1" applyAlignment="1">
      <alignment horizontal="center" vertical="center" wrapText="1"/>
    </xf>
    <xf numFmtId="164" fontId="13" fillId="0" borderId="33" xfId="1" quotePrefix="1" applyNumberFormat="1" applyFont="1" applyBorder="1" applyAlignment="1">
      <alignment horizontal="center" vertical="center" wrapText="1"/>
    </xf>
    <xf numFmtId="0" fontId="13" fillId="2" borderId="28"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8" fillId="0" borderId="25" xfId="0" applyFont="1" applyBorder="1" applyAlignment="1">
      <alignment horizontal="center" vertical="center"/>
    </xf>
    <xf numFmtId="166" fontId="18" fillId="0" borderId="18" xfId="0" applyNumberFormat="1" applyFont="1" applyBorder="1" applyAlignment="1">
      <alignment horizontal="right" vertical="center"/>
    </xf>
    <xf numFmtId="0" fontId="18" fillId="0" borderId="6" xfId="0" applyFont="1" applyBorder="1" applyAlignment="1">
      <alignment horizontal="left" vertical="center" indent="7"/>
    </xf>
    <xf numFmtId="0" fontId="18" fillId="0" borderId="23" xfId="0" applyFont="1" applyBorder="1" applyAlignment="1">
      <alignment horizontal="left" vertical="center" wrapText="1" indent="3"/>
    </xf>
    <xf numFmtId="0" fontId="18" fillId="0" borderId="28" xfId="0" applyFont="1" applyBorder="1" applyAlignment="1">
      <alignment horizontal="center" vertical="center"/>
    </xf>
    <xf numFmtId="0" fontId="18" fillId="0" borderId="29" xfId="0" applyFont="1" applyBorder="1" applyAlignment="1">
      <alignment vertical="center"/>
    </xf>
    <xf numFmtId="0" fontId="18" fillId="0" borderId="30" xfId="0" quotePrefix="1" applyFont="1" applyBorder="1" applyAlignment="1">
      <alignment horizontal="center" vertical="center"/>
    </xf>
    <xf numFmtId="164" fontId="18" fillId="0" borderId="31" xfId="1" applyNumberFormat="1" applyFont="1" applyBorder="1" applyAlignment="1">
      <alignment horizontal="center" vertical="center" wrapText="1"/>
    </xf>
    <xf numFmtId="0" fontId="18" fillId="0" borderId="32" xfId="0" quotePrefix="1" applyFont="1" applyBorder="1" applyAlignment="1">
      <alignment horizontal="center" vertical="center"/>
    </xf>
    <xf numFmtId="0" fontId="13" fillId="0" borderId="1" xfId="0" applyFont="1" applyBorder="1" applyAlignment="1">
      <alignment horizontal="left" vertical="center"/>
    </xf>
    <xf numFmtId="166" fontId="18" fillId="0" borderId="1" xfId="0" applyNumberFormat="1" applyFont="1" applyBorder="1" applyAlignment="1">
      <alignment horizontal="right" vertical="center"/>
    </xf>
    <xf numFmtId="14" fontId="13" fillId="0" borderId="1" xfId="0" applyNumberFormat="1" applyFont="1" applyBorder="1" applyAlignment="1">
      <alignment vertical="center"/>
    </xf>
    <xf numFmtId="0" fontId="13" fillId="2" borderId="30" xfId="0" applyFont="1" applyFill="1" applyBorder="1" applyAlignment="1">
      <alignment horizontal="center" vertical="center" wrapText="1"/>
    </xf>
    <xf numFmtId="0" fontId="1" fillId="0" borderId="12"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3" fillId="0" borderId="1"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2" fillId="0" borderId="0" xfId="0" applyFont="1" applyAlignment="1">
      <alignment horizontal="left" vertical="center" wrapText="1"/>
    </xf>
    <xf numFmtId="0" fontId="15" fillId="0" borderId="0" xfId="0" applyFont="1" applyAlignment="1">
      <alignment horizontal="center" vertical="center" wrapText="1"/>
    </xf>
    <xf numFmtId="0" fontId="1" fillId="0" borderId="2" xfId="0" applyFont="1" applyBorder="1" applyAlignment="1">
      <alignment horizontal="center" vertical="center" wrapText="1"/>
    </xf>
    <xf numFmtId="9" fontId="1" fillId="0" borderId="6" xfId="1" applyFont="1" applyFill="1" applyBorder="1" applyAlignment="1">
      <alignment horizontal="center" vertical="center" wrapText="1"/>
    </xf>
    <xf numFmtId="9" fontId="1" fillId="0" borderId="5" xfId="1"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33" fillId="2" borderId="2" xfId="0" applyFont="1" applyFill="1" applyBorder="1" applyAlignment="1">
      <alignment horizontal="left" vertical="center"/>
    </xf>
    <xf numFmtId="0" fontId="33" fillId="2" borderId="3" xfId="0" applyFont="1" applyFill="1" applyBorder="1" applyAlignment="1">
      <alignment horizontal="left" vertical="center"/>
    </xf>
    <xf numFmtId="0" fontId="33" fillId="2" borderId="4" xfId="0" applyFont="1" applyFill="1" applyBorder="1" applyAlignment="1">
      <alignment horizontal="left" vertical="center"/>
    </xf>
    <xf numFmtId="0" fontId="37" fillId="2" borderId="2" xfId="0" applyFont="1" applyFill="1" applyBorder="1" applyAlignment="1">
      <alignment horizontal="center" vertical="center"/>
    </xf>
    <xf numFmtId="0" fontId="37" fillId="2" borderId="3" xfId="0" applyFont="1" applyFill="1" applyBorder="1" applyAlignment="1">
      <alignment horizontal="center" vertical="center"/>
    </xf>
    <xf numFmtId="0" fontId="37" fillId="2" borderId="4" xfId="0" applyFont="1" applyFill="1" applyBorder="1" applyAlignment="1">
      <alignment horizontal="center" vertical="center"/>
    </xf>
    <xf numFmtId="0" fontId="34" fillId="0" borderId="6" xfId="0" applyFont="1" applyBorder="1" applyAlignment="1">
      <alignment horizontal="center" vertical="center"/>
    </xf>
    <xf numFmtId="0" fontId="34" fillId="0" borderId="7" xfId="0" applyFont="1" applyBorder="1" applyAlignment="1">
      <alignment horizontal="center" vertical="center"/>
    </xf>
    <xf numFmtId="0" fontId="34" fillId="0" borderId="5" xfId="0" applyFont="1" applyBorder="1" applyAlignment="1">
      <alignment horizontal="center" vertical="center"/>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8" fillId="0" borderId="2" xfId="0" applyFont="1" applyBorder="1" applyAlignment="1">
      <alignment horizontal="left" vertical="center" wrapText="1" indent="1"/>
    </xf>
    <xf numFmtId="0" fontId="18" fillId="0" borderId="4" xfId="0" applyFont="1" applyBorder="1" applyAlignment="1">
      <alignment horizontal="left" vertical="center" wrapText="1" indent="1"/>
    </xf>
    <xf numFmtId="0" fontId="13"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18" fillId="0" borderId="5" xfId="0" applyFont="1" applyBorder="1" applyAlignment="1">
      <alignment horizontal="left"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8" fillId="0" borderId="2" xfId="0" applyFont="1" applyBorder="1" applyAlignment="1">
      <alignment horizontal="center" vertical="center" wrapText="1"/>
    </xf>
    <xf numFmtId="0" fontId="18" fillId="0" borderId="4" xfId="0" applyFont="1" applyBorder="1" applyAlignment="1">
      <alignment horizontal="center" vertical="center" wrapText="1"/>
    </xf>
    <xf numFmtId="0" fontId="13" fillId="0" borderId="6" xfId="0" applyFont="1" applyBorder="1" applyAlignment="1">
      <alignment horizontal="center" vertical="center" textRotation="90" wrapText="1"/>
    </xf>
    <xf numFmtId="0" fontId="13" fillId="0" borderId="7" xfId="0" applyFont="1" applyBorder="1" applyAlignment="1">
      <alignment horizontal="center" vertical="center" textRotation="90" wrapText="1"/>
    </xf>
    <xf numFmtId="0" fontId="13" fillId="0" borderId="5" xfId="0" applyFont="1" applyBorder="1" applyAlignment="1">
      <alignment horizontal="center" vertical="center" textRotation="90"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8" fillId="0" borderId="2" xfId="0" applyFont="1" applyBorder="1" applyAlignment="1">
      <alignment horizontal="left" vertical="center" indent="3"/>
    </xf>
    <xf numFmtId="0" fontId="18" fillId="0" borderId="4" xfId="0" applyFont="1" applyBorder="1" applyAlignment="1">
      <alignment horizontal="left" vertical="center" indent="3"/>
    </xf>
    <xf numFmtId="2" fontId="18" fillId="0" borderId="6" xfId="0" applyNumberFormat="1" applyFont="1" applyBorder="1" applyAlignment="1">
      <alignment horizontal="right" vertical="top"/>
    </xf>
    <xf numFmtId="2" fontId="18" fillId="0" borderId="7" xfId="0" applyNumberFormat="1" applyFont="1" applyBorder="1" applyAlignment="1">
      <alignment horizontal="right" vertical="top"/>
    </xf>
    <xf numFmtId="2" fontId="18" fillId="0" borderId="5" xfId="0" applyNumberFormat="1" applyFont="1" applyBorder="1" applyAlignment="1">
      <alignment horizontal="right" vertical="top"/>
    </xf>
    <xf numFmtId="0" fontId="27" fillId="2" borderId="2" xfId="0" applyFont="1" applyFill="1" applyBorder="1" applyAlignment="1">
      <alignment horizontal="center" vertical="center" wrapText="1"/>
    </xf>
    <xf numFmtId="0" fontId="27" fillId="2" borderId="3"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38" fillId="2" borderId="28" xfId="0" applyFont="1" applyFill="1" applyBorder="1" applyAlignment="1">
      <alignment horizontal="center" vertical="center" wrapText="1"/>
    </xf>
    <xf numFmtId="0" fontId="38" fillId="2" borderId="29" xfId="0" applyFont="1" applyFill="1" applyBorder="1" applyAlignment="1">
      <alignment horizontal="center" vertical="center" wrapText="1"/>
    </xf>
    <xf numFmtId="0" fontId="38" fillId="2" borderId="32"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3" fillId="0" borderId="16" xfId="0" applyFont="1" applyBorder="1" applyAlignment="1">
      <alignment horizontal="left" vertical="center"/>
    </xf>
    <xf numFmtId="0" fontId="18" fillId="0" borderId="17"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4" xfId="0" applyFont="1" applyBorder="1" applyAlignment="1">
      <alignment horizontal="center" vertical="center" wrapText="1"/>
    </xf>
    <xf numFmtId="164" fontId="18" fillId="0" borderId="6" xfId="1" applyNumberFormat="1" applyFont="1" applyBorder="1" applyAlignment="1">
      <alignment horizontal="center" vertical="center" wrapText="1"/>
    </xf>
    <xf numFmtId="164" fontId="18" fillId="0" borderId="7" xfId="1" applyNumberFormat="1" applyFont="1" applyBorder="1" applyAlignment="1">
      <alignment horizontal="center" vertical="center" wrapText="1"/>
    </xf>
    <xf numFmtId="164" fontId="18" fillId="0" borderId="24" xfId="1" applyNumberFormat="1" applyFont="1" applyBorder="1" applyAlignment="1">
      <alignment horizontal="center" vertical="center" wrapText="1"/>
    </xf>
    <xf numFmtId="0" fontId="18" fillId="0" borderId="20" xfId="0" applyFont="1" applyBorder="1" applyAlignment="1">
      <alignment horizontal="right" vertical="top"/>
    </xf>
    <xf numFmtId="0" fontId="18" fillId="0" borderId="21" xfId="0" applyFont="1" applyBorder="1" applyAlignment="1">
      <alignment horizontal="right" vertical="top"/>
    </xf>
    <xf numFmtId="0" fontId="18" fillId="0" borderId="22" xfId="0" applyFont="1" applyBorder="1" applyAlignment="1">
      <alignment horizontal="right" vertical="top"/>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164" fontId="18" fillId="0" borderId="5" xfId="1" applyNumberFormat="1" applyFont="1" applyBorder="1" applyAlignment="1">
      <alignment horizontal="center" vertical="center" wrapText="1"/>
    </xf>
    <xf numFmtId="0" fontId="18" fillId="0" borderId="25" xfId="0" applyFont="1" applyBorder="1" applyAlignment="1">
      <alignment horizontal="center" vertical="center" wrapText="1"/>
    </xf>
    <xf numFmtId="0" fontId="18" fillId="0" borderId="26" xfId="0" applyFont="1" applyBorder="1" applyAlignment="1">
      <alignment horizontal="center" vertical="center" wrapText="1"/>
    </xf>
    <xf numFmtId="166" fontId="18" fillId="0" borderId="20" xfId="0" applyNumberFormat="1" applyFont="1" applyBorder="1" applyAlignment="1">
      <alignment horizontal="right" vertical="top"/>
    </xf>
    <xf numFmtId="166" fontId="18" fillId="0" borderId="21" xfId="0" applyNumberFormat="1" applyFont="1" applyBorder="1" applyAlignment="1">
      <alignment horizontal="right" vertical="top"/>
    </xf>
    <xf numFmtId="2" fontId="18" fillId="0" borderId="20" xfId="0" applyNumberFormat="1" applyFont="1" applyBorder="1" applyAlignment="1">
      <alignment horizontal="right" vertical="top"/>
    </xf>
    <xf numFmtId="2" fontId="18" fillId="0" borderId="21" xfId="0" applyNumberFormat="1" applyFont="1" applyBorder="1" applyAlignment="1">
      <alignment horizontal="right" vertical="top"/>
    </xf>
    <xf numFmtId="0" fontId="18" fillId="0" borderId="37" xfId="0" applyFont="1" applyBorder="1" applyAlignment="1">
      <alignment horizontal="right" vertical="top"/>
    </xf>
    <xf numFmtId="0" fontId="18" fillId="0" borderId="30" xfId="0" quotePrefix="1" applyFont="1" applyBorder="1" applyAlignment="1">
      <alignment horizontal="center" vertical="center" wrapText="1"/>
    </xf>
    <xf numFmtId="0" fontId="18" fillId="0" borderId="31" xfId="0" applyFont="1" applyBorder="1" applyAlignment="1">
      <alignment horizontal="center" vertical="center" wrapText="1"/>
    </xf>
    <xf numFmtId="0" fontId="12" fillId="2" borderId="1" xfId="0" applyFont="1" applyFill="1" applyBorder="1" applyAlignment="1">
      <alignment horizontal="left" vertical="center" wrapText="1"/>
    </xf>
    <xf numFmtId="2" fontId="18" fillId="0" borderId="1" xfId="0" applyNumberFormat="1" applyFont="1" applyBorder="1" applyAlignment="1">
      <alignment horizontal="right" vertical="top"/>
    </xf>
    <xf numFmtId="0" fontId="18" fillId="0" borderId="1" xfId="0" applyFont="1" applyBorder="1" applyAlignment="1">
      <alignment horizontal="right" vertical="top"/>
    </xf>
    <xf numFmtId="0" fontId="40"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166" fontId="18" fillId="0" borderId="1" xfId="0" applyNumberFormat="1" applyFont="1" applyBorder="1" applyAlignment="1">
      <alignment horizontal="right" vertical="top"/>
    </xf>
    <xf numFmtId="0" fontId="7" fillId="0" borderId="3"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0" fillId="0" borderId="21" xfId="0" applyBorder="1" applyAlignment="1">
      <alignment horizontal="right" vertical="top"/>
    </xf>
    <xf numFmtId="0" fontId="0" fillId="0" borderId="37" xfId="0" applyBorder="1" applyAlignment="1">
      <alignment horizontal="right" vertical="top"/>
    </xf>
    <xf numFmtId="0" fontId="0" fillId="0" borderId="22" xfId="0" applyBorder="1" applyAlignment="1">
      <alignment horizontal="right" vertical="top"/>
    </xf>
  </cellXfs>
  <cellStyles count="3">
    <cellStyle name="Comma" xfId="2" builtinId="3"/>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3"/>
  <sheetViews>
    <sheetView view="pageBreakPreview" zoomScale="85" zoomScaleNormal="85" zoomScaleSheetLayoutView="85" workbookViewId="0">
      <pane ySplit="3" topLeftCell="A88" activePane="bottomLeft" state="frozen"/>
      <selection pane="bottomLeft" activeCell="B201" sqref="B201"/>
    </sheetView>
  </sheetViews>
  <sheetFormatPr defaultRowHeight="15.75" x14ac:dyDescent="0.25"/>
  <cols>
    <col min="1" max="1" width="5.140625" style="9" customWidth="1"/>
    <col min="2" max="2" width="96.85546875" style="7" customWidth="1"/>
    <col min="3" max="3" width="16.7109375" style="39" customWidth="1"/>
    <col min="4" max="4" width="14.42578125" style="39" customWidth="1"/>
    <col min="5" max="5" width="13.42578125" style="41" customWidth="1"/>
    <col min="6" max="6" width="12.42578125" style="41" customWidth="1"/>
    <col min="7" max="7" width="21.42578125" style="42" customWidth="1"/>
    <col min="8" max="8" width="15.140625" style="7" customWidth="1"/>
    <col min="9" max="16384" width="9.140625" style="7"/>
  </cols>
  <sheetData>
    <row r="1" spans="1:7" s="3" customFormat="1" ht="30" customHeight="1" x14ac:dyDescent="0.25">
      <c r="A1" s="197" t="s">
        <v>64</v>
      </c>
      <c r="B1" s="197"/>
      <c r="C1" s="197"/>
      <c r="D1" s="197"/>
      <c r="E1" s="197"/>
      <c r="F1" s="197"/>
      <c r="G1" s="197"/>
    </row>
    <row r="2" spans="1:7" s="1" customFormat="1" ht="7.5" customHeight="1" x14ac:dyDescent="0.25">
      <c r="A2" s="8"/>
      <c r="B2" s="2"/>
      <c r="C2" s="39"/>
      <c r="D2" s="39"/>
      <c r="E2" s="40"/>
      <c r="F2" s="40"/>
      <c r="G2" s="39"/>
    </row>
    <row r="3" spans="1:7" s="3" customFormat="1" ht="39" customHeight="1" x14ac:dyDescent="0.25">
      <c r="A3" s="4" t="s">
        <v>11</v>
      </c>
      <c r="B3" s="25" t="s">
        <v>74</v>
      </c>
      <c r="C3" s="4" t="s">
        <v>126</v>
      </c>
      <c r="D3" s="4" t="s">
        <v>131</v>
      </c>
      <c r="E3" s="4" t="s">
        <v>132</v>
      </c>
      <c r="F3" s="4" t="s">
        <v>134</v>
      </c>
      <c r="G3" s="4" t="s">
        <v>135</v>
      </c>
    </row>
    <row r="4" spans="1:7" ht="6.75" customHeight="1" x14ac:dyDescent="0.25">
      <c r="C4" s="1"/>
      <c r="D4" s="1"/>
      <c r="E4" s="43"/>
      <c r="F4" s="43"/>
      <c r="G4" s="7"/>
    </row>
    <row r="5" spans="1:7" s="15" customFormat="1" ht="21.75" customHeight="1" x14ac:dyDescent="0.25">
      <c r="A5" s="28">
        <v>1</v>
      </c>
      <c r="B5" s="13" t="s">
        <v>136</v>
      </c>
      <c r="C5" s="44"/>
      <c r="D5" s="44"/>
      <c r="E5" s="14"/>
      <c r="F5" s="14"/>
      <c r="G5" s="55" t="s">
        <v>137</v>
      </c>
    </row>
    <row r="6" spans="1:7" s="11" customFormat="1" ht="21.75" customHeight="1" x14ac:dyDescent="0.25">
      <c r="A6" s="16" t="s">
        <v>34</v>
      </c>
      <c r="B6" s="6" t="s">
        <v>173</v>
      </c>
      <c r="C6" s="45"/>
      <c r="D6" s="45"/>
      <c r="E6" s="6"/>
      <c r="F6" s="6"/>
      <c r="G6" s="6"/>
    </row>
    <row r="7" spans="1:7" ht="36" customHeight="1" x14ac:dyDescent="0.25">
      <c r="A7" s="17"/>
      <c r="B7" s="68" t="s">
        <v>240</v>
      </c>
      <c r="C7" s="195" t="s">
        <v>129</v>
      </c>
      <c r="D7" s="195" t="s">
        <v>129</v>
      </c>
      <c r="E7" s="195" t="s">
        <v>129</v>
      </c>
      <c r="F7" s="195" t="s">
        <v>129</v>
      </c>
      <c r="G7" s="195" t="s">
        <v>129</v>
      </c>
    </row>
    <row r="8" spans="1:7" ht="21.75" customHeight="1" x14ac:dyDescent="0.25">
      <c r="A8" s="17"/>
      <c r="B8" s="29" t="s">
        <v>172</v>
      </c>
      <c r="C8" s="196"/>
      <c r="D8" s="196"/>
      <c r="E8" s="196"/>
      <c r="F8" s="196"/>
      <c r="G8" s="196"/>
    </row>
    <row r="9" spans="1:7" s="11" customFormat="1" ht="21.75" customHeight="1" x14ac:dyDescent="0.25">
      <c r="A9" s="16" t="s">
        <v>34</v>
      </c>
      <c r="B9" s="6" t="s">
        <v>189</v>
      </c>
      <c r="C9" s="45"/>
      <c r="D9" s="45"/>
      <c r="E9" s="6"/>
      <c r="F9" s="6"/>
      <c r="G9" s="6"/>
    </row>
    <row r="10" spans="1:7" ht="21.75" customHeight="1" x14ac:dyDescent="0.25">
      <c r="A10" s="17"/>
      <c r="B10" s="29" t="s">
        <v>61</v>
      </c>
      <c r="C10" s="47" t="s">
        <v>129</v>
      </c>
      <c r="D10" s="47" t="s">
        <v>129</v>
      </c>
      <c r="E10" s="47" t="s">
        <v>129</v>
      </c>
      <c r="F10" s="47"/>
      <c r="G10" s="47" t="s">
        <v>129</v>
      </c>
    </row>
    <row r="11" spans="1:7" ht="21.75" customHeight="1" x14ac:dyDescent="0.25">
      <c r="A11" s="17"/>
      <c r="B11" s="29" t="s">
        <v>192</v>
      </c>
      <c r="C11" s="47" t="s">
        <v>129</v>
      </c>
      <c r="D11" s="47" t="s">
        <v>129</v>
      </c>
      <c r="E11" s="47" t="s">
        <v>129</v>
      </c>
      <c r="F11" s="47"/>
      <c r="G11" s="47" t="s">
        <v>129</v>
      </c>
    </row>
    <row r="12" spans="1:7" ht="21.75" customHeight="1" x14ac:dyDescent="0.25">
      <c r="A12" s="17"/>
      <c r="B12" s="29" t="s">
        <v>60</v>
      </c>
      <c r="C12" s="47" t="s">
        <v>129</v>
      </c>
      <c r="D12" s="47" t="s">
        <v>129</v>
      </c>
      <c r="E12" s="47" t="s">
        <v>129</v>
      </c>
      <c r="F12" s="47"/>
      <c r="G12" s="47" t="s">
        <v>129</v>
      </c>
    </row>
    <row r="13" spans="1:7" ht="21.75" customHeight="1" x14ac:dyDescent="0.25">
      <c r="A13" s="17"/>
      <c r="B13" s="29" t="s">
        <v>62</v>
      </c>
      <c r="C13" s="47" t="s">
        <v>129</v>
      </c>
      <c r="D13" s="47" t="s">
        <v>129</v>
      </c>
      <c r="E13" s="47" t="s">
        <v>129</v>
      </c>
      <c r="F13" s="47"/>
      <c r="G13" s="47" t="s">
        <v>129</v>
      </c>
    </row>
    <row r="14" spans="1:7" ht="21.75" customHeight="1" x14ac:dyDescent="0.25">
      <c r="A14" s="17"/>
      <c r="B14" s="29" t="s">
        <v>79</v>
      </c>
      <c r="C14" s="47" t="s">
        <v>129</v>
      </c>
      <c r="D14" s="47" t="s">
        <v>129</v>
      </c>
      <c r="E14" s="47" t="s">
        <v>129</v>
      </c>
      <c r="F14" s="47"/>
      <c r="G14" s="47" t="s">
        <v>129</v>
      </c>
    </row>
    <row r="15" spans="1:7" ht="21.75" customHeight="1" x14ac:dyDescent="0.25">
      <c r="A15" s="18"/>
      <c r="B15" s="29" t="s">
        <v>63</v>
      </c>
      <c r="C15" s="47" t="s">
        <v>129</v>
      </c>
      <c r="D15" s="47" t="s">
        <v>129</v>
      </c>
      <c r="E15" s="47" t="s">
        <v>129</v>
      </c>
      <c r="F15" s="47"/>
      <c r="G15" s="47" t="s">
        <v>129</v>
      </c>
    </row>
    <row r="16" spans="1:7" s="15" customFormat="1" ht="21.75" customHeight="1" x14ac:dyDescent="0.25">
      <c r="A16" s="28">
        <v>2</v>
      </c>
      <c r="B16" s="13" t="s">
        <v>219</v>
      </c>
      <c r="C16" s="44"/>
      <c r="D16" s="44"/>
      <c r="E16" s="14"/>
      <c r="F16" s="14"/>
      <c r="G16" s="55" t="s">
        <v>138</v>
      </c>
    </row>
    <row r="17" spans="1:7" s="11" customFormat="1" ht="21.75" customHeight="1" x14ac:dyDescent="0.25">
      <c r="A17" s="16" t="s">
        <v>34</v>
      </c>
      <c r="B17" s="6" t="s">
        <v>0</v>
      </c>
      <c r="C17" s="45"/>
      <c r="D17" s="45"/>
      <c r="E17" s="6"/>
      <c r="F17" s="6"/>
      <c r="G17" s="46"/>
    </row>
    <row r="18" spans="1:7" s="11" customFormat="1" ht="21.75" customHeight="1" x14ac:dyDescent="0.25">
      <c r="A18" s="34"/>
      <c r="B18" s="10" t="s">
        <v>242</v>
      </c>
      <c r="C18" s="47" t="s">
        <v>127</v>
      </c>
      <c r="D18" s="47" t="s">
        <v>129</v>
      </c>
      <c r="E18" s="47" t="s">
        <v>129</v>
      </c>
      <c r="F18" s="47" t="s">
        <v>129</v>
      </c>
      <c r="G18" s="47" t="s">
        <v>129</v>
      </c>
    </row>
    <row r="19" spans="1:7" s="11" customFormat="1" ht="21.75" customHeight="1" x14ac:dyDescent="0.25">
      <c r="A19" s="34"/>
      <c r="B19" s="10" t="s">
        <v>241</v>
      </c>
      <c r="C19" s="47" t="s">
        <v>128</v>
      </c>
      <c r="D19" s="47" t="s">
        <v>129</v>
      </c>
      <c r="E19" s="47" t="s">
        <v>129</v>
      </c>
      <c r="F19" s="47" t="s">
        <v>129</v>
      </c>
      <c r="G19" s="47" t="s">
        <v>129</v>
      </c>
    </row>
    <row r="20" spans="1:7" s="11" customFormat="1" ht="21.75" customHeight="1" x14ac:dyDescent="0.25">
      <c r="A20" s="34"/>
      <c r="B20" s="10" t="s">
        <v>243</v>
      </c>
      <c r="C20" s="47" t="s">
        <v>129</v>
      </c>
      <c r="D20" s="47" t="s">
        <v>129</v>
      </c>
      <c r="E20" s="47" t="s">
        <v>129</v>
      </c>
      <c r="F20" s="47" t="s">
        <v>129</v>
      </c>
      <c r="G20" s="47" t="s">
        <v>129</v>
      </c>
    </row>
    <row r="21" spans="1:7" s="11" customFormat="1" ht="21.75" customHeight="1" x14ac:dyDescent="0.25">
      <c r="A21" s="34"/>
      <c r="B21" s="10" t="s">
        <v>249</v>
      </c>
      <c r="C21" s="47" t="s">
        <v>129</v>
      </c>
      <c r="D21" s="47" t="s">
        <v>129</v>
      </c>
      <c r="E21" s="47" t="s">
        <v>129</v>
      </c>
      <c r="F21" s="47" t="s">
        <v>129</v>
      </c>
      <c r="G21" s="47" t="s">
        <v>129</v>
      </c>
    </row>
    <row r="22" spans="1:7" s="11" customFormat="1" ht="21.75" customHeight="1" x14ac:dyDescent="0.25">
      <c r="A22" s="34"/>
      <c r="B22" s="10" t="s">
        <v>154</v>
      </c>
      <c r="C22" s="47" t="s">
        <v>129</v>
      </c>
      <c r="D22" s="47" t="s">
        <v>129</v>
      </c>
      <c r="E22" s="47" t="s">
        <v>129</v>
      </c>
      <c r="F22" s="47" t="s">
        <v>129</v>
      </c>
      <c r="G22" s="47" t="s">
        <v>129</v>
      </c>
    </row>
    <row r="23" spans="1:7" s="11" customFormat="1" ht="21.75" customHeight="1" x14ac:dyDescent="0.25">
      <c r="A23" s="34"/>
      <c r="B23" s="10" t="s">
        <v>177</v>
      </c>
      <c r="C23" s="47" t="s">
        <v>129</v>
      </c>
      <c r="D23" s="47" t="s">
        <v>129</v>
      </c>
      <c r="E23" s="47" t="s">
        <v>129</v>
      </c>
      <c r="F23" s="47" t="s">
        <v>129</v>
      </c>
      <c r="G23" s="47" t="s">
        <v>129</v>
      </c>
    </row>
    <row r="24" spans="1:7" s="11" customFormat="1" ht="21.75" customHeight="1" x14ac:dyDescent="0.25">
      <c r="A24" s="34"/>
      <c r="B24" s="10" t="s">
        <v>176</v>
      </c>
      <c r="C24" s="47" t="s">
        <v>129</v>
      </c>
      <c r="D24" s="47" t="s">
        <v>129</v>
      </c>
      <c r="E24" s="47" t="s">
        <v>129</v>
      </c>
      <c r="F24" s="47" t="s">
        <v>129</v>
      </c>
      <c r="G24" s="47" t="s">
        <v>129</v>
      </c>
    </row>
    <row r="25" spans="1:7" s="11" customFormat="1" ht="21.75" customHeight="1" x14ac:dyDescent="0.25">
      <c r="A25" s="22" t="s">
        <v>49</v>
      </c>
      <c r="B25" s="21" t="s">
        <v>65</v>
      </c>
      <c r="C25" s="45"/>
      <c r="D25" s="45"/>
      <c r="E25" s="6"/>
      <c r="F25" s="6"/>
      <c r="G25" s="46"/>
    </row>
    <row r="26" spans="1:7" ht="33.75" customHeight="1" x14ac:dyDescent="0.25">
      <c r="A26" s="19"/>
      <c r="B26" s="65" t="s">
        <v>178</v>
      </c>
      <c r="C26" s="47" t="s">
        <v>129</v>
      </c>
      <c r="D26" s="47" t="s">
        <v>129</v>
      </c>
      <c r="E26" s="47" t="s">
        <v>129</v>
      </c>
      <c r="F26" s="47" t="s">
        <v>129</v>
      </c>
      <c r="G26" s="47" t="s">
        <v>129</v>
      </c>
    </row>
    <row r="27" spans="1:7" ht="21.75" customHeight="1" x14ac:dyDescent="0.25">
      <c r="A27" s="20"/>
      <c r="B27" s="10" t="s">
        <v>133</v>
      </c>
      <c r="C27" s="47" t="s">
        <v>129</v>
      </c>
      <c r="D27" s="47" t="s">
        <v>129</v>
      </c>
      <c r="E27" s="47" t="s">
        <v>129</v>
      </c>
      <c r="F27" s="47" t="s">
        <v>129</v>
      </c>
      <c r="G27" s="47" t="s">
        <v>129</v>
      </c>
    </row>
    <row r="28" spans="1:7" s="11" customFormat="1" ht="21.75" customHeight="1" x14ac:dyDescent="0.25">
      <c r="A28" s="16" t="s">
        <v>34</v>
      </c>
      <c r="B28" s="6" t="s">
        <v>199</v>
      </c>
      <c r="C28" s="45"/>
      <c r="D28" s="45"/>
      <c r="E28" s="6"/>
      <c r="F28" s="6"/>
      <c r="G28" s="46"/>
    </row>
    <row r="29" spans="1:7" s="11" customFormat="1" ht="21.75" customHeight="1" x14ac:dyDescent="0.25">
      <c r="A29" s="16" t="s">
        <v>34</v>
      </c>
      <c r="B29" s="6" t="s">
        <v>38</v>
      </c>
      <c r="C29" s="45"/>
      <c r="D29" s="45"/>
      <c r="E29" s="6"/>
      <c r="F29" s="6"/>
      <c r="G29" s="46"/>
    </row>
    <row r="30" spans="1:7" s="11" customFormat="1" ht="21.75" customHeight="1" x14ac:dyDescent="0.25">
      <c r="A30" s="22" t="s">
        <v>49</v>
      </c>
      <c r="B30" s="21" t="s">
        <v>179</v>
      </c>
      <c r="C30" s="47" t="s">
        <v>129</v>
      </c>
      <c r="D30" s="47" t="s">
        <v>187</v>
      </c>
      <c r="E30" s="47" t="s">
        <v>129</v>
      </c>
      <c r="F30" s="47" t="s">
        <v>129</v>
      </c>
      <c r="G30" s="47" t="s">
        <v>129</v>
      </c>
    </row>
    <row r="31" spans="1:7" s="11" customFormat="1" ht="21.75" customHeight="1" x14ac:dyDescent="0.25">
      <c r="A31" s="22" t="s">
        <v>49</v>
      </c>
      <c r="B31" s="21" t="s">
        <v>180</v>
      </c>
      <c r="C31" s="47" t="s">
        <v>129</v>
      </c>
      <c r="D31" s="47" t="s">
        <v>187</v>
      </c>
      <c r="E31" s="47" t="s">
        <v>129</v>
      </c>
      <c r="F31" s="47" t="s">
        <v>129</v>
      </c>
      <c r="G31" s="47" t="s">
        <v>129</v>
      </c>
    </row>
    <row r="32" spans="1:7" s="11" customFormat="1" ht="21.75" customHeight="1" x14ac:dyDescent="0.25">
      <c r="A32" s="22" t="s">
        <v>49</v>
      </c>
      <c r="B32" s="21" t="s">
        <v>181</v>
      </c>
      <c r="C32" s="47" t="s">
        <v>129</v>
      </c>
      <c r="D32" s="47" t="s">
        <v>187</v>
      </c>
      <c r="E32" s="47" t="s">
        <v>129</v>
      </c>
      <c r="F32" s="47" t="s">
        <v>129</v>
      </c>
      <c r="G32" s="47" t="s">
        <v>129</v>
      </c>
    </row>
    <row r="33" spans="1:8" s="11" customFormat="1" ht="21.75" customHeight="1" x14ac:dyDescent="0.25">
      <c r="A33" s="22" t="s">
        <v>49</v>
      </c>
      <c r="B33" s="21" t="s">
        <v>182</v>
      </c>
      <c r="C33" s="47" t="s">
        <v>129</v>
      </c>
      <c r="D33" s="47" t="s">
        <v>187</v>
      </c>
      <c r="E33" s="47" t="s">
        <v>129</v>
      </c>
      <c r="F33" s="47" t="s">
        <v>129</v>
      </c>
      <c r="G33" s="47" t="s">
        <v>129</v>
      </c>
    </row>
    <row r="34" spans="1:8" s="11" customFormat="1" ht="21.75" customHeight="1" x14ac:dyDescent="0.25">
      <c r="A34" s="22" t="s">
        <v>49</v>
      </c>
      <c r="B34" s="21" t="s">
        <v>183</v>
      </c>
      <c r="C34" s="47" t="s">
        <v>129</v>
      </c>
      <c r="D34" s="47" t="s">
        <v>187</v>
      </c>
      <c r="E34" s="47" t="s">
        <v>129</v>
      </c>
      <c r="F34" s="47" t="s">
        <v>129</v>
      </c>
      <c r="G34" s="47" t="s">
        <v>129</v>
      </c>
    </row>
    <row r="35" spans="1:8" s="11" customFormat="1" ht="21.75" customHeight="1" x14ac:dyDescent="0.25">
      <c r="A35" s="22" t="s">
        <v>49</v>
      </c>
      <c r="B35" s="21" t="s">
        <v>52</v>
      </c>
      <c r="C35" s="47" t="s">
        <v>129</v>
      </c>
      <c r="D35" s="47" t="s">
        <v>187</v>
      </c>
      <c r="E35" s="47" t="s">
        <v>129</v>
      </c>
      <c r="F35" s="47" t="s">
        <v>129</v>
      </c>
      <c r="G35" s="47" t="s">
        <v>129</v>
      </c>
    </row>
    <row r="36" spans="1:8" s="11" customFormat="1" ht="21.75" customHeight="1" x14ac:dyDescent="0.25">
      <c r="A36" s="22" t="s">
        <v>49</v>
      </c>
      <c r="B36" s="21" t="s">
        <v>53</v>
      </c>
      <c r="C36" s="47" t="s">
        <v>129</v>
      </c>
      <c r="D36" s="47" t="s">
        <v>187</v>
      </c>
      <c r="E36" s="47" t="s">
        <v>129</v>
      </c>
      <c r="F36" s="47" t="s">
        <v>129</v>
      </c>
      <c r="G36" s="47" t="s">
        <v>129</v>
      </c>
    </row>
    <row r="37" spans="1:8" s="11" customFormat="1" ht="21.75" customHeight="1" x14ac:dyDescent="0.25">
      <c r="A37" s="22" t="s">
        <v>49</v>
      </c>
      <c r="B37" s="64" t="s">
        <v>54</v>
      </c>
      <c r="C37" s="45"/>
      <c r="D37" s="45"/>
      <c r="E37" s="6"/>
      <c r="F37" s="6"/>
      <c r="G37" s="46"/>
    </row>
    <row r="38" spans="1:8" s="11" customFormat="1" ht="32.25" customHeight="1" x14ac:dyDescent="0.25">
      <c r="A38" s="22"/>
      <c r="B38" s="30" t="s">
        <v>184</v>
      </c>
      <c r="C38" s="47" t="s">
        <v>129</v>
      </c>
      <c r="D38" s="47" t="s">
        <v>187</v>
      </c>
      <c r="E38" s="47" t="s">
        <v>129</v>
      </c>
      <c r="F38" s="47" t="s">
        <v>129</v>
      </c>
      <c r="G38" s="47" t="s">
        <v>129</v>
      </c>
    </row>
    <row r="39" spans="1:8" s="11" customFormat="1" ht="21.75" customHeight="1" x14ac:dyDescent="0.25">
      <c r="A39" s="22" t="s">
        <v>49</v>
      </c>
      <c r="B39" s="21" t="s">
        <v>24</v>
      </c>
      <c r="C39" s="50"/>
      <c r="D39" s="50"/>
      <c r="E39" s="50"/>
      <c r="F39" s="50"/>
      <c r="G39" s="51"/>
    </row>
    <row r="40" spans="1:8" ht="21.75" customHeight="1" x14ac:dyDescent="0.25">
      <c r="A40" s="19"/>
      <c r="B40" s="26" t="s">
        <v>109</v>
      </c>
      <c r="C40" s="56" t="s">
        <v>185</v>
      </c>
      <c r="D40" s="47" t="s">
        <v>187</v>
      </c>
      <c r="E40" s="47" t="s">
        <v>129</v>
      </c>
      <c r="F40" s="47" t="s">
        <v>129</v>
      </c>
      <c r="G40" s="47" t="s">
        <v>129</v>
      </c>
    </row>
    <row r="41" spans="1:8" ht="21.75" customHeight="1" x14ac:dyDescent="0.25">
      <c r="A41" s="20"/>
      <c r="B41" s="30" t="s">
        <v>186</v>
      </c>
      <c r="C41" s="56" t="s">
        <v>129</v>
      </c>
      <c r="D41" s="47" t="s">
        <v>187</v>
      </c>
      <c r="E41" s="47" t="s">
        <v>129</v>
      </c>
      <c r="F41" s="47" t="s">
        <v>129</v>
      </c>
      <c r="G41" s="47" t="s">
        <v>129</v>
      </c>
    </row>
    <row r="42" spans="1:8" s="11" customFormat="1" ht="21.75" customHeight="1" x14ac:dyDescent="0.25">
      <c r="A42" s="16" t="s">
        <v>34</v>
      </c>
      <c r="B42" s="6" t="s">
        <v>59</v>
      </c>
      <c r="C42" s="45"/>
      <c r="D42" s="45"/>
      <c r="E42" s="6"/>
      <c r="F42" s="6"/>
      <c r="G42" s="46"/>
    </row>
    <row r="43" spans="1:8" s="11" customFormat="1" ht="21.75" customHeight="1" x14ac:dyDescent="0.25">
      <c r="A43" s="22" t="s">
        <v>49</v>
      </c>
      <c r="B43" s="21" t="s">
        <v>45</v>
      </c>
      <c r="C43" s="50"/>
      <c r="D43" s="50"/>
      <c r="E43" s="50"/>
      <c r="F43" s="50"/>
      <c r="G43" s="51"/>
    </row>
    <row r="44" spans="1:8" s="11" customFormat="1" ht="21.75" customHeight="1" x14ac:dyDescent="0.25">
      <c r="A44" s="19"/>
      <c r="B44" s="10" t="s">
        <v>46</v>
      </c>
      <c r="C44" s="47" t="s">
        <v>129</v>
      </c>
      <c r="D44" s="192" t="s">
        <v>142</v>
      </c>
      <c r="E44" s="47" t="s">
        <v>139</v>
      </c>
      <c r="F44" s="47" t="s">
        <v>129</v>
      </c>
      <c r="G44" s="47" t="s">
        <v>129</v>
      </c>
      <c r="H44" s="7"/>
    </row>
    <row r="45" spans="1:8" s="11" customFormat="1" ht="21.75" customHeight="1" x14ac:dyDescent="0.25">
      <c r="A45" s="19"/>
      <c r="B45" s="10" t="s">
        <v>47</v>
      </c>
      <c r="C45" s="47" t="s">
        <v>129</v>
      </c>
      <c r="D45" s="193"/>
      <c r="E45" s="47" t="s">
        <v>140</v>
      </c>
      <c r="F45" s="47" t="s">
        <v>129</v>
      </c>
      <c r="G45" s="47" t="s">
        <v>129</v>
      </c>
      <c r="H45" s="7"/>
    </row>
    <row r="46" spans="1:8" s="11" customFormat="1" ht="21.75" customHeight="1" x14ac:dyDescent="0.25">
      <c r="A46" s="20"/>
      <c r="B46" s="10" t="s">
        <v>48</v>
      </c>
      <c r="C46" s="47" t="s">
        <v>129</v>
      </c>
      <c r="D46" s="194"/>
      <c r="E46" s="47" t="s">
        <v>141</v>
      </c>
      <c r="F46" s="47" t="s">
        <v>129</v>
      </c>
      <c r="G46" s="47" t="s">
        <v>129</v>
      </c>
      <c r="H46" s="7"/>
    </row>
    <row r="47" spans="1:8" s="11" customFormat="1" ht="21.75" customHeight="1" x14ac:dyDescent="0.25">
      <c r="A47" s="22" t="s">
        <v>49</v>
      </c>
      <c r="B47" s="21" t="s">
        <v>33</v>
      </c>
      <c r="C47" s="50"/>
      <c r="D47" s="50"/>
      <c r="E47" s="50"/>
      <c r="F47" s="50"/>
      <c r="G47" s="51"/>
    </row>
    <row r="48" spans="1:8" ht="21.75" customHeight="1" x14ac:dyDescent="0.25">
      <c r="A48" s="19"/>
      <c r="B48" s="26" t="s">
        <v>1</v>
      </c>
      <c r="C48" s="56" t="s">
        <v>143</v>
      </c>
      <c r="D48" s="192" t="s">
        <v>142</v>
      </c>
      <c r="E48" s="57" t="s">
        <v>146</v>
      </c>
      <c r="F48" s="47" t="s">
        <v>129</v>
      </c>
      <c r="G48" s="47" t="s">
        <v>129</v>
      </c>
    </row>
    <row r="49" spans="1:7" ht="21.75" customHeight="1" x14ac:dyDescent="0.25">
      <c r="A49" s="19"/>
      <c r="B49" s="26" t="s">
        <v>3</v>
      </c>
      <c r="C49" s="56" t="s">
        <v>143</v>
      </c>
      <c r="D49" s="193"/>
      <c r="E49" s="57" t="s">
        <v>147</v>
      </c>
      <c r="F49" s="47" t="s">
        <v>129</v>
      </c>
      <c r="G49" s="47" t="s">
        <v>129</v>
      </c>
    </row>
    <row r="50" spans="1:7" ht="21.75" customHeight="1" x14ac:dyDescent="0.25">
      <c r="A50" s="19"/>
      <c r="B50" s="26" t="s">
        <v>2</v>
      </c>
      <c r="C50" s="56" t="s">
        <v>144</v>
      </c>
      <c r="D50" s="193"/>
      <c r="E50" s="57" t="s">
        <v>148</v>
      </c>
      <c r="F50" s="47" t="s">
        <v>129</v>
      </c>
      <c r="G50" s="47" t="s">
        <v>129</v>
      </c>
    </row>
    <row r="51" spans="1:7" ht="21.75" customHeight="1" x14ac:dyDescent="0.25">
      <c r="A51" s="19"/>
      <c r="B51" s="26" t="s">
        <v>6</v>
      </c>
      <c r="C51" s="56" t="s">
        <v>145</v>
      </c>
      <c r="D51" s="193"/>
      <c r="E51" s="57" t="s">
        <v>149</v>
      </c>
      <c r="F51" s="47" t="s">
        <v>129</v>
      </c>
      <c r="G51" s="47" t="s">
        <v>129</v>
      </c>
    </row>
    <row r="52" spans="1:7" ht="21.75" customHeight="1" x14ac:dyDescent="0.25">
      <c r="A52" s="19"/>
      <c r="B52" s="26" t="s">
        <v>4</v>
      </c>
      <c r="C52" s="56" t="s">
        <v>144</v>
      </c>
      <c r="D52" s="193"/>
      <c r="E52" s="57" t="s">
        <v>150</v>
      </c>
      <c r="F52" s="47" t="s">
        <v>129</v>
      </c>
      <c r="G52" s="47" t="s">
        <v>129</v>
      </c>
    </row>
    <row r="53" spans="1:7" ht="21.75" customHeight="1" x14ac:dyDescent="0.25">
      <c r="A53" s="19"/>
      <c r="B53" s="26" t="s">
        <v>5</v>
      </c>
      <c r="C53" s="56" t="s">
        <v>129</v>
      </c>
      <c r="D53" s="193"/>
      <c r="E53" s="57" t="s">
        <v>151</v>
      </c>
      <c r="F53" s="47" t="s">
        <v>129</v>
      </c>
      <c r="G53" s="47" t="s">
        <v>129</v>
      </c>
    </row>
    <row r="54" spans="1:7" ht="21.75" customHeight="1" x14ac:dyDescent="0.25">
      <c r="A54" s="19"/>
      <c r="B54" s="26" t="s">
        <v>7</v>
      </c>
      <c r="C54" s="56" t="s">
        <v>129</v>
      </c>
      <c r="D54" s="194"/>
      <c r="E54" s="57" t="s">
        <v>152</v>
      </c>
      <c r="F54" s="47" t="s">
        <v>129</v>
      </c>
      <c r="G54" s="47" t="s">
        <v>129</v>
      </c>
    </row>
    <row r="55" spans="1:7" s="11" customFormat="1" ht="21.75" customHeight="1" x14ac:dyDescent="0.25">
      <c r="A55" s="22" t="s">
        <v>49</v>
      </c>
      <c r="B55" s="21" t="s">
        <v>8</v>
      </c>
      <c r="C55" s="50"/>
      <c r="D55" s="50"/>
      <c r="E55" s="50"/>
      <c r="F55" s="50"/>
      <c r="G55" s="51"/>
    </row>
    <row r="56" spans="1:7" ht="21.75" customHeight="1" x14ac:dyDescent="0.25">
      <c r="A56" s="19"/>
      <c r="B56" s="26" t="s">
        <v>32</v>
      </c>
      <c r="C56" s="47" t="s">
        <v>129</v>
      </c>
      <c r="D56" s="53" t="s">
        <v>142</v>
      </c>
      <c r="E56" s="53" t="s">
        <v>153</v>
      </c>
      <c r="F56" s="47" t="s">
        <v>129</v>
      </c>
      <c r="G56" s="47" t="s">
        <v>129</v>
      </c>
    </row>
    <row r="57" spans="1:7" s="11" customFormat="1" ht="21.75" customHeight="1" x14ac:dyDescent="0.25">
      <c r="A57" s="22" t="s">
        <v>49</v>
      </c>
      <c r="B57" s="21" t="s">
        <v>155</v>
      </c>
      <c r="C57" s="50"/>
      <c r="D57" s="50"/>
      <c r="E57" s="50"/>
      <c r="F57" s="50"/>
      <c r="G57" s="51"/>
    </row>
    <row r="58" spans="1:7" ht="21.75" customHeight="1" x14ac:dyDescent="0.25">
      <c r="A58" s="22"/>
      <c r="B58" s="26" t="s">
        <v>175</v>
      </c>
      <c r="C58" s="47" t="s">
        <v>129</v>
      </c>
      <c r="D58" s="53" t="s">
        <v>142</v>
      </c>
      <c r="E58" s="53" t="s">
        <v>156</v>
      </c>
      <c r="F58" s="47" t="s">
        <v>129</v>
      </c>
      <c r="G58" s="47" t="s">
        <v>129</v>
      </c>
    </row>
    <row r="59" spans="1:7" s="11" customFormat="1" ht="21.75" customHeight="1" x14ac:dyDescent="0.25">
      <c r="A59" s="22" t="s">
        <v>49</v>
      </c>
      <c r="B59" s="21" t="s">
        <v>9</v>
      </c>
      <c r="C59" s="50"/>
      <c r="D59" s="50"/>
      <c r="E59" s="50"/>
      <c r="F59" s="50"/>
      <c r="G59" s="51"/>
    </row>
    <row r="60" spans="1:7" ht="21.75" customHeight="1" x14ac:dyDescent="0.25">
      <c r="A60" s="22"/>
      <c r="B60" s="26" t="s">
        <v>245</v>
      </c>
      <c r="C60" s="56" t="s">
        <v>157</v>
      </c>
      <c r="D60" s="192" t="s">
        <v>142</v>
      </c>
      <c r="E60" s="57" t="s">
        <v>158</v>
      </c>
      <c r="F60" s="47" t="s">
        <v>129</v>
      </c>
      <c r="G60" s="47" t="s">
        <v>129</v>
      </c>
    </row>
    <row r="61" spans="1:7" ht="29.25" customHeight="1" x14ac:dyDescent="0.25">
      <c r="A61" s="22"/>
      <c r="B61" s="26" t="s">
        <v>174</v>
      </c>
      <c r="C61" s="56" t="s">
        <v>406</v>
      </c>
      <c r="D61" s="194"/>
      <c r="E61" s="57" t="s">
        <v>159</v>
      </c>
      <c r="F61" s="47" t="s">
        <v>129</v>
      </c>
      <c r="G61" s="47" t="s">
        <v>129</v>
      </c>
    </row>
    <row r="62" spans="1:7" s="11" customFormat="1" ht="21.75" customHeight="1" x14ac:dyDescent="0.25">
      <c r="A62" s="22" t="s">
        <v>49</v>
      </c>
      <c r="B62" s="21" t="s">
        <v>13</v>
      </c>
      <c r="C62" s="50"/>
      <c r="D62" s="50"/>
      <c r="E62" s="50"/>
      <c r="F62" s="50"/>
      <c r="G62" s="51"/>
    </row>
    <row r="63" spans="1:7" ht="21.75" customHeight="1" x14ac:dyDescent="0.25">
      <c r="A63" s="22"/>
      <c r="B63" s="35" t="s">
        <v>108</v>
      </c>
      <c r="C63" s="56" t="s">
        <v>160</v>
      </c>
      <c r="D63" s="53" t="s">
        <v>142</v>
      </c>
      <c r="E63" s="52" t="s">
        <v>161</v>
      </c>
      <c r="F63" s="47" t="s">
        <v>129</v>
      </c>
      <c r="G63" s="47" t="s">
        <v>129</v>
      </c>
    </row>
    <row r="64" spans="1:7" s="11" customFormat="1" ht="21.75" customHeight="1" x14ac:dyDescent="0.25">
      <c r="A64" s="23" t="s">
        <v>49</v>
      </c>
      <c r="B64" s="21" t="s">
        <v>10</v>
      </c>
      <c r="C64" s="50"/>
      <c r="D64" s="50"/>
      <c r="E64" s="50"/>
      <c r="F64" s="50"/>
      <c r="G64" s="51"/>
    </row>
    <row r="65" spans="1:7" ht="21.75" customHeight="1" x14ac:dyDescent="0.25">
      <c r="A65" s="22"/>
      <c r="B65" s="26" t="s">
        <v>72</v>
      </c>
      <c r="C65" s="60" t="s">
        <v>162</v>
      </c>
      <c r="D65" s="192" t="s">
        <v>142</v>
      </c>
      <c r="E65" s="189" t="s">
        <v>163</v>
      </c>
      <c r="F65" s="47" t="s">
        <v>129</v>
      </c>
      <c r="G65" s="47" t="s">
        <v>129</v>
      </c>
    </row>
    <row r="66" spans="1:7" ht="21.75" customHeight="1" x14ac:dyDescent="0.25">
      <c r="A66" s="22"/>
      <c r="B66" s="26" t="s">
        <v>71</v>
      </c>
      <c r="C66" s="60" t="s">
        <v>162</v>
      </c>
      <c r="D66" s="193"/>
      <c r="E66" s="190"/>
      <c r="F66" s="47" t="s">
        <v>129</v>
      </c>
      <c r="G66" s="47" t="s">
        <v>129</v>
      </c>
    </row>
    <row r="67" spans="1:7" ht="21.75" customHeight="1" x14ac:dyDescent="0.25">
      <c r="A67" s="22"/>
      <c r="B67" s="26" t="s">
        <v>70</v>
      </c>
      <c r="C67" s="60" t="s">
        <v>162</v>
      </c>
      <c r="D67" s="194"/>
      <c r="E67" s="191"/>
      <c r="F67" s="47" t="s">
        <v>129</v>
      </c>
      <c r="G67" s="47" t="s">
        <v>129</v>
      </c>
    </row>
    <row r="68" spans="1:7" ht="21.75" customHeight="1" x14ac:dyDescent="0.25">
      <c r="A68" s="23" t="s">
        <v>49</v>
      </c>
      <c r="B68" s="21" t="s">
        <v>164</v>
      </c>
      <c r="C68" s="63"/>
      <c r="D68" s="59"/>
      <c r="E68" s="61"/>
      <c r="F68" s="58"/>
      <c r="G68" s="62"/>
    </row>
    <row r="69" spans="1:7" ht="21.75" customHeight="1" x14ac:dyDescent="0.25">
      <c r="A69" s="22"/>
      <c r="B69" s="5" t="s">
        <v>165</v>
      </c>
      <c r="C69" s="60" t="s">
        <v>129</v>
      </c>
      <c r="D69" s="192" t="s">
        <v>142</v>
      </c>
      <c r="E69" s="57" t="s">
        <v>168</v>
      </c>
      <c r="F69" s="47" t="s">
        <v>129</v>
      </c>
      <c r="G69" s="47" t="s">
        <v>129</v>
      </c>
    </row>
    <row r="70" spans="1:7" ht="21.75" customHeight="1" x14ac:dyDescent="0.25">
      <c r="A70" s="22"/>
      <c r="B70" s="5" t="s">
        <v>166</v>
      </c>
      <c r="C70" s="60" t="s">
        <v>129</v>
      </c>
      <c r="D70" s="193"/>
      <c r="E70" s="57" t="s">
        <v>169</v>
      </c>
      <c r="F70" s="47" t="s">
        <v>129</v>
      </c>
      <c r="G70" s="47" t="s">
        <v>129</v>
      </c>
    </row>
    <row r="71" spans="1:7" ht="21.75" customHeight="1" x14ac:dyDescent="0.25">
      <c r="A71" s="22"/>
      <c r="B71" s="5" t="s">
        <v>167</v>
      </c>
      <c r="C71" s="60" t="s">
        <v>129</v>
      </c>
      <c r="D71" s="194"/>
      <c r="E71" s="57" t="s">
        <v>170</v>
      </c>
      <c r="F71" s="47" t="s">
        <v>129</v>
      </c>
      <c r="G71" s="47" t="s">
        <v>129</v>
      </c>
    </row>
    <row r="72" spans="1:7" s="11" customFormat="1" ht="21.75" customHeight="1" x14ac:dyDescent="0.25">
      <c r="A72" s="22" t="s">
        <v>49</v>
      </c>
      <c r="B72" s="21" t="s">
        <v>50</v>
      </c>
      <c r="C72" s="50"/>
      <c r="D72" s="50"/>
      <c r="E72" s="50"/>
      <c r="F72" s="50"/>
      <c r="G72" s="51"/>
    </row>
    <row r="73" spans="1:7" s="11" customFormat="1" ht="21.75" customHeight="1" x14ac:dyDescent="0.25">
      <c r="A73" s="24"/>
      <c r="B73" s="26" t="s">
        <v>66</v>
      </c>
      <c r="C73" s="47" t="s">
        <v>129</v>
      </c>
      <c r="D73" s="53" t="s">
        <v>142</v>
      </c>
      <c r="E73" s="57" t="s">
        <v>171</v>
      </c>
      <c r="F73" s="47" t="s">
        <v>129</v>
      </c>
      <c r="G73" s="47" t="s">
        <v>129</v>
      </c>
    </row>
    <row r="74" spans="1:7" s="11" customFormat="1" ht="21.75" customHeight="1" x14ac:dyDescent="0.25">
      <c r="A74" s="16" t="s">
        <v>34</v>
      </c>
      <c r="B74" s="6" t="s">
        <v>51</v>
      </c>
      <c r="C74" s="45"/>
      <c r="D74" s="45"/>
      <c r="E74" s="6"/>
      <c r="F74" s="6"/>
      <c r="G74" s="46"/>
    </row>
    <row r="75" spans="1:7" s="11" customFormat="1" ht="35.25" customHeight="1" x14ac:dyDescent="0.25">
      <c r="A75" s="33"/>
      <c r="B75" s="31" t="s">
        <v>116</v>
      </c>
      <c r="C75" s="47" t="s">
        <v>129</v>
      </c>
      <c r="D75" s="53" t="s">
        <v>188</v>
      </c>
      <c r="E75" s="47" t="s">
        <v>129</v>
      </c>
      <c r="F75" s="47" t="s">
        <v>129</v>
      </c>
      <c r="G75" s="47" t="s">
        <v>129</v>
      </c>
    </row>
    <row r="76" spans="1:7" s="11" customFormat="1" ht="21.75" customHeight="1" x14ac:dyDescent="0.25">
      <c r="A76" s="16" t="s">
        <v>34</v>
      </c>
      <c r="B76" s="6" t="s">
        <v>190</v>
      </c>
      <c r="C76" s="45"/>
      <c r="D76" s="45"/>
      <c r="E76" s="6"/>
      <c r="F76" s="6"/>
      <c r="G76" s="46"/>
    </row>
    <row r="77" spans="1:7" ht="21.75" customHeight="1" x14ac:dyDescent="0.25">
      <c r="A77" s="32"/>
      <c r="B77" s="27" t="s">
        <v>191</v>
      </c>
      <c r="C77" s="47" t="s">
        <v>129</v>
      </c>
      <c r="D77" s="47" t="s">
        <v>129</v>
      </c>
      <c r="E77" s="47" t="s">
        <v>129</v>
      </c>
      <c r="F77" s="47" t="s">
        <v>129</v>
      </c>
      <c r="G77" s="47" t="s">
        <v>129</v>
      </c>
    </row>
    <row r="78" spans="1:7" ht="21.75" customHeight="1" x14ac:dyDescent="0.25">
      <c r="A78" s="32"/>
      <c r="B78" s="27" t="s">
        <v>194</v>
      </c>
      <c r="C78" s="47" t="s">
        <v>129</v>
      </c>
      <c r="D78" s="47" t="s">
        <v>129</v>
      </c>
      <c r="E78" s="47" t="s">
        <v>129</v>
      </c>
      <c r="F78" s="47" t="s">
        <v>129</v>
      </c>
      <c r="G78" s="47" t="s">
        <v>129</v>
      </c>
    </row>
    <row r="79" spans="1:7" ht="21.75" customHeight="1" x14ac:dyDescent="0.25">
      <c r="A79" s="32"/>
      <c r="B79" s="27" t="s">
        <v>67</v>
      </c>
      <c r="C79" s="47" t="s">
        <v>129</v>
      </c>
      <c r="D79" s="47" t="s">
        <v>129</v>
      </c>
      <c r="E79" s="47" t="s">
        <v>129</v>
      </c>
      <c r="F79" s="47" t="s">
        <v>129</v>
      </c>
      <c r="G79" s="47" t="s">
        <v>129</v>
      </c>
    </row>
    <row r="80" spans="1:7" s="15" customFormat="1" ht="21.75" customHeight="1" x14ac:dyDescent="0.25">
      <c r="A80" s="28">
        <v>3</v>
      </c>
      <c r="B80" s="13" t="s">
        <v>220</v>
      </c>
      <c r="C80" s="44"/>
      <c r="D80" s="44"/>
      <c r="E80" s="14"/>
      <c r="F80" s="14"/>
      <c r="G80" s="55" t="s">
        <v>138</v>
      </c>
    </row>
    <row r="81" spans="1:7" s="11" customFormat="1" ht="21.75" customHeight="1" x14ac:dyDescent="0.25">
      <c r="A81" s="16" t="s">
        <v>34</v>
      </c>
      <c r="B81" s="6" t="s">
        <v>193</v>
      </c>
      <c r="C81" s="45"/>
      <c r="D81" s="45"/>
      <c r="E81" s="6"/>
      <c r="F81" s="6"/>
      <c r="G81" s="46"/>
    </row>
    <row r="82" spans="1:7" s="11" customFormat="1" ht="21.75" customHeight="1" x14ac:dyDescent="0.25">
      <c r="A82" s="34"/>
      <c r="B82" s="5" t="s">
        <v>195</v>
      </c>
      <c r="C82" s="47" t="s">
        <v>129</v>
      </c>
      <c r="D82" s="47" t="s">
        <v>129</v>
      </c>
      <c r="E82" s="47" t="s">
        <v>129</v>
      </c>
      <c r="F82" s="47" t="s">
        <v>129</v>
      </c>
      <c r="G82" s="47" t="s">
        <v>129</v>
      </c>
    </row>
    <row r="83" spans="1:7" s="11" customFormat="1" ht="21.75" customHeight="1" x14ac:dyDescent="0.25">
      <c r="A83" s="34"/>
      <c r="B83" s="5" t="s">
        <v>196</v>
      </c>
      <c r="C83" s="47" t="s">
        <v>129</v>
      </c>
      <c r="D83" s="47" t="s">
        <v>129</v>
      </c>
      <c r="E83" s="47" t="s">
        <v>129</v>
      </c>
      <c r="F83" s="47" t="s">
        <v>129</v>
      </c>
      <c r="G83" s="47" t="s">
        <v>129</v>
      </c>
    </row>
    <row r="84" spans="1:7" s="11" customFormat="1" ht="21.75" customHeight="1" x14ac:dyDescent="0.25">
      <c r="A84" s="16" t="s">
        <v>34</v>
      </c>
      <c r="B84" s="6" t="s">
        <v>190</v>
      </c>
      <c r="C84" s="45"/>
      <c r="D84" s="45"/>
      <c r="E84" s="6"/>
      <c r="F84" s="6"/>
      <c r="G84" s="46"/>
    </row>
    <row r="85" spans="1:7" s="11" customFormat="1" ht="21.75" customHeight="1" x14ac:dyDescent="0.25">
      <c r="A85" s="34"/>
      <c r="B85" s="5" t="s">
        <v>68</v>
      </c>
      <c r="C85" s="47" t="s">
        <v>129</v>
      </c>
      <c r="D85" s="47" t="s">
        <v>129</v>
      </c>
      <c r="E85" s="47" t="s">
        <v>129</v>
      </c>
      <c r="F85" s="47" t="s">
        <v>129</v>
      </c>
      <c r="G85" s="47" t="s">
        <v>129</v>
      </c>
    </row>
    <row r="86" spans="1:7" s="11" customFormat="1" ht="21.75" customHeight="1" x14ac:dyDescent="0.25">
      <c r="A86" s="34"/>
      <c r="B86" s="5" t="s">
        <v>81</v>
      </c>
      <c r="C86" s="47" t="s">
        <v>129</v>
      </c>
      <c r="D86" s="47" t="s">
        <v>129</v>
      </c>
      <c r="E86" s="47" t="s">
        <v>129</v>
      </c>
      <c r="F86" s="47" t="s">
        <v>129</v>
      </c>
      <c r="G86" s="47" t="s">
        <v>129</v>
      </c>
    </row>
    <row r="87" spans="1:7" s="11" customFormat="1" ht="21.75" customHeight="1" x14ac:dyDescent="0.25">
      <c r="A87" s="34"/>
      <c r="B87" s="5" t="s">
        <v>69</v>
      </c>
      <c r="C87" s="47" t="s">
        <v>129</v>
      </c>
      <c r="D87" s="47" t="s">
        <v>129</v>
      </c>
      <c r="E87" s="47" t="s">
        <v>129</v>
      </c>
      <c r="F87" s="47" t="s">
        <v>129</v>
      </c>
      <c r="G87" s="47" t="s">
        <v>129</v>
      </c>
    </row>
    <row r="88" spans="1:7" s="11" customFormat="1" ht="21.75" customHeight="1" x14ac:dyDescent="0.25">
      <c r="A88" s="19"/>
      <c r="B88" s="26" t="s">
        <v>55</v>
      </c>
      <c r="C88" s="47" t="s">
        <v>129</v>
      </c>
      <c r="D88" s="47" t="s">
        <v>129</v>
      </c>
      <c r="E88" s="47" t="s">
        <v>129</v>
      </c>
      <c r="F88" s="47" t="s">
        <v>129</v>
      </c>
      <c r="G88" s="47" t="s">
        <v>129</v>
      </c>
    </row>
    <row r="89" spans="1:7" s="11" customFormat="1" ht="21.75" customHeight="1" x14ac:dyDescent="0.25">
      <c r="A89" s="19"/>
      <c r="B89" s="5" t="s">
        <v>80</v>
      </c>
      <c r="C89" s="47" t="s">
        <v>129</v>
      </c>
      <c r="D89" s="47" t="s">
        <v>129</v>
      </c>
      <c r="E89" s="47" t="s">
        <v>129</v>
      </c>
      <c r="F89" s="47" t="s">
        <v>129</v>
      </c>
      <c r="G89" s="47" t="s">
        <v>129</v>
      </c>
    </row>
    <row r="90" spans="1:7" s="11" customFormat="1" ht="21.75" customHeight="1" x14ac:dyDescent="0.25">
      <c r="A90" s="19"/>
      <c r="B90" s="26" t="s">
        <v>73</v>
      </c>
      <c r="C90" s="47" t="s">
        <v>129</v>
      </c>
      <c r="D90" s="47" t="s">
        <v>129</v>
      </c>
      <c r="E90" s="47" t="s">
        <v>129</v>
      </c>
      <c r="F90" s="47" t="s">
        <v>129</v>
      </c>
      <c r="G90" s="47" t="s">
        <v>129</v>
      </c>
    </row>
    <row r="91" spans="1:7" s="15" customFormat="1" ht="21.75" customHeight="1" x14ac:dyDescent="0.25">
      <c r="A91" s="28">
        <v>4</v>
      </c>
      <c r="B91" s="13" t="s">
        <v>197</v>
      </c>
      <c r="C91" s="44"/>
      <c r="D91" s="44"/>
      <c r="E91" s="14"/>
      <c r="F91" s="14"/>
      <c r="G91" s="55" t="s">
        <v>138</v>
      </c>
    </row>
    <row r="92" spans="1:7" s="11" customFormat="1" ht="21.75" customHeight="1" x14ac:dyDescent="0.25">
      <c r="A92" s="16" t="s">
        <v>34</v>
      </c>
      <c r="B92" s="6" t="s">
        <v>198</v>
      </c>
      <c r="C92" s="45"/>
      <c r="D92" s="45"/>
      <c r="E92" s="6"/>
      <c r="F92" s="6"/>
      <c r="G92" s="46"/>
    </row>
    <row r="93" spans="1:7" s="11" customFormat="1" ht="21.75" customHeight="1" x14ac:dyDescent="0.25">
      <c r="A93" s="19"/>
      <c r="B93" s="26" t="s">
        <v>117</v>
      </c>
      <c r="C93" s="47" t="s">
        <v>129</v>
      </c>
      <c r="D93" s="47" t="s">
        <v>129</v>
      </c>
      <c r="E93" s="47" t="s">
        <v>129</v>
      </c>
      <c r="F93" s="47" t="s">
        <v>129</v>
      </c>
      <c r="G93" s="47" t="s">
        <v>129</v>
      </c>
    </row>
    <row r="94" spans="1:7" s="11" customFormat="1" ht="33.75" customHeight="1" x14ac:dyDescent="0.25">
      <c r="A94" s="19"/>
      <c r="B94" s="30" t="s">
        <v>105</v>
      </c>
      <c r="C94" s="47" t="s">
        <v>129</v>
      </c>
      <c r="D94" s="47" t="s">
        <v>129</v>
      </c>
      <c r="E94" s="47" t="s">
        <v>129</v>
      </c>
      <c r="F94" s="47" t="s">
        <v>129</v>
      </c>
      <c r="G94" s="47" t="s">
        <v>129</v>
      </c>
    </row>
    <row r="95" spans="1:7" s="11" customFormat="1" ht="33.75" customHeight="1" x14ac:dyDescent="0.25">
      <c r="A95" s="19"/>
      <c r="B95" s="30" t="s">
        <v>122</v>
      </c>
      <c r="C95" s="47" t="s">
        <v>129</v>
      </c>
      <c r="D95" s="47" t="s">
        <v>129</v>
      </c>
      <c r="E95" s="47" t="s">
        <v>129</v>
      </c>
      <c r="F95" s="47" t="s">
        <v>129</v>
      </c>
      <c r="G95" s="47" t="s">
        <v>129</v>
      </c>
    </row>
    <row r="96" spans="1:7" s="11" customFormat="1" ht="21.75" customHeight="1" x14ac:dyDescent="0.25">
      <c r="A96" s="19"/>
      <c r="B96" s="26" t="s">
        <v>244</v>
      </c>
      <c r="C96" s="47" t="s">
        <v>129</v>
      </c>
      <c r="D96" s="47" t="s">
        <v>129</v>
      </c>
      <c r="E96" s="47" t="s">
        <v>129</v>
      </c>
      <c r="F96" s="47" t="s">
        <v>129</v>
      </c>
      <c r="G96" s="47" t="s">
        <v>129</v>
      </c>
    </row>
    <row r="97" spans="1:7" s="11" customFormat="1" ht="21.75" customHeight="1" x14ac:dyDescent="0.25">
      <c r="A97" s="19"/>
      <c r="B97" s="26" t="s">
        <v>114</v>
      </c>
      <c r="C97" s="47" t="s">
        <v>129</v>
      </c>
      <c r="D97" s="47" t="s">
        <v>129</v>
      </c>
      <c r="E97" s="47" t="s">
        <v>129</v>
      </c>
      <c r="F97" s="47" t="s">
        <v>129</v>
      </c>
      <c r="G97" s="47" t="s">
        <v>129</v>
      </c>
    </row>
    <row r="98" spans="1:7" s="11" customFormat="1" ht="37.5" customHeight="1" x14ac:dyDescent="0.25">
      <c r="A98" s="19"/>
      <c r="B98" s="30" t="s">
        <v>124</v>
      </c>
      <c r="C98" s="47" t="s">
        <v>129</v>
      </c>
      <c r="D98" s="47" t="s">
        <v>129</v>
      </c>
      <c r="E98" s="47" t="s">
        <v>129</v>
      </c>
      <c r="F98" s="47" t="s">
        <v>129</v>
      </c>
      <c r="G98" s="47" t="s">
        <v>129</v>
      </c>
    </row>
    <row r="99" spans="1:7" s="11" customFormat="1" ht="52.5" customHeight="1" x14ac:dyDescent="0.25">
      <c r="A99" s="19"/>
      <c r="B99" s="38" t="s">
        <v>123</v>
      </c>
      <c r="C99" s="47" t="s">
        <v>129</v>
      </c>
      <c r="D99" s="47" t="s">
        <v>129</v>
      </c>
      <c r="E99" s="47" t="s">
        <v>129</v>
      </c>
      <c r="F99" s="47" t="s">
        <v>129</v>
      </c>
      <c r="G99" s="47" t="s">
        <v>129</v>
      </c>
    </row>
    <row r="100" spans="1:7" s="11" customFormat="1" ht="21.75" customHeight="1" x14ac:dyDescent="0.25">
      <c r="A100" s="19"/>
      <c r="B100" s="26" t="s">
        <v>106</v>
      </c>
      <c r="C100" s="47" t="s">
        <v>129</v>
      </c>
      <c r="D100" s="47" t="s">
        <v>129</v>
      </c>
      <c r="E100" s="47" t="s">
        <v>129</v>
      </c>
      <c r="F100" s="47" t="s">
        <v>129</v>
      </c>
      <c r="G100" s="47" t="s">
        <v>129</v>
      </c>
    </row>
    <row r="101" spans="1:7" s="11" customFormat="1" ht="21.75" customHeight="1" x14ac:dyDescent="0.25">
      <c r="A101" s="19"/>
      <c r="B101" s="26" t="s">
        <v>56</v>
      </c>
      <c r="C101" s="47" t="s">
        <v>129</v>
      </c>
      <c r="D101" s="47" t="s">
        <v>129</v>
      </c>
      <c r="E101" s="47" t="s">
        <v>129</v>
      </c>
      <c r="F101" s="47" t="s">
        <v>129</v>
      </c>
      <c r="G101" s="47" t="s">
        <v>129</v>
      </c>
    </row>
    <row r="102" spans="1:7" s="11" customFormat="1" ht="21.75" customHeight="1" x14ac:dyDescent="0.25">
      <c r="A102" s="19"/>
      <c r="B102" s="26" t="s">
        <v>113</v>
      </c>
      <c r="C102" s="47" t="s">
        <v>129</v>
      </c>
      <c r="D102" s="47" t="s">
        <v>129</v>
      </c>
      <c r="E102" s="47" t="s">
        <v>129</v>
      </c>
      <c r="F102" s="47" t="s">
        <v>129</v>
      </c>
      <c r="G102" s="47" t="s">
        <v>129</v>
      </c>
    </row>
    <row r="103" spans="1:7" s="11" customFormat="1" ht="21.75" customHeight="1" x14ac:dyDescent="0.25">
      <c r="A103" s="19"/>
      <c r="B103" s="26" t="s">
        <v>107</v>
      </c>
      <c r="C103" s="47" t="s">
        <v>129</v>
      </c>
      <c r="D103" s="47" t="s">
        <v>129</v>
      </c>
      <c r="E103" s="47" t="s">
        <v>129</v>
      </c>
      <c r="F103" s="47" t="s">
        <v>129</v>
      </c>
      <c r="G103" s="47" t="s">
        <v>129</v>
      </c>
    </row>
    <row r="104" spans="1:7" s="11" customFormat="1" ht="21.75" customHeight="1" x14ac:dyDescent="0.25">
      <c r="A104" s="19"/>
      <c r="B104" s="26" t="s">
        <v>57</v>
      </c>
      <c r="C104" s="47" t="s">
        <v>129</v>
      </c>
      <c r="D104" s="47" t="s">
        <v>129</v>
      </c>
      <c r="E104" s="47" t="s">
        <v>129</v>
      </c>
      <c r="F104" s="47" t="s">
        <v>129</v>
      </c>
      <c r="G104" s="47" t="s">
        <v>129</v>
      </c>
    </row>
    <row r="105" spans="1:7" s="11" customFormat="1" ht="21.75" customHeight="1" x14ac:dyDescent="0.25">
      <c r="A105" s="19"/>
      <c r="B105" s="26" t="s">
        <v>76</v>
      </c>
      <c r="C105" s="47" t="s">
        <v>129</v>
      </c>
      <c r="D105" s="47" t="s">
        <v>129</v>
      </c>
      <c r="E105" s="47" t="s">
        <v>129</v>
      </c>
      <c r="F105" s="47" t="s">
        <v>129</v>
      </c>
      <c r="G105" s="47" t="s">
        <v>129</v>
      </c>
    </row>
    <row r="106" spans="1:7" s="11" customFormat="1" ht="21.75" customHeight="1" x14ac:dyDescent="0.25">
      <c r="A106" s="19"/>
      <c r="B106" s="26" t="s">
        <v>118</v>
      </c>
      <c r="C106" s="47" t="s">
        <v>129</v>
      </c>
      <c r="D106" s="47" t="s">
        <v>129</v>
      </c>
      <c r="E106" s="47" t="s">
        <v>129</v>
      </c>
      <c r="F106" s="47" t="s">
        <v>129</v>
      </c>
      <c r="G106" s="47" t="s">
        <v>129</v>
      </c>
    </row>
    <row r="107" spans="1:7" s="11" customFormat="1" ht="21.75" customHeight="1" x14ac:dyDescent="0.25">
      <c r="A107" s="19"/>
      <c r="B107" s="26" t="s">
        <v>115</v>
      </c>
      <c r="C107" s="47" t="s">
        <v>129</v>
      </c>
      <c r="D107" s="47" t="s">
        <v>129</v>
      </c>
      <c r="E107" s="47" t="s">
        <v>129</v>
      </c>
      <c r="F107" s="47" t="s">
        <v>129</v>
      </c>
      <c r="G107" s="47" t="s">
        <v>129</v>
      </c>
    </row>
    <row r="108" spans="1:7" s="11" customFormat="1" ht="21.75" customHeight="1" x14ac:dyDescent="0.25">
      <c r="A108" s="19"/>
      <c r="B108" s="26" t="s">
        <v>58</v>
      </c>
      <c r="C108" s="47" t="s">
        <v>129</v>
      </c>
      <c r="D108" s="47" t="s">
        <v>129</v>
      </c>
      <c r="E108" s="47" t="s">
        <v>129</v>
      </c>
      <c r="F108" s="47" t="s">
        <v>129</v>
      </c>
      <c r="G108" s="47" t="s">
        <v>129</v>
      </c>
    </row>
    <row r="109" spans="1:7" s="11" customFormat="1" ht="21.75" customHeight="1" x14ac:dyDescent="0.25">
      <c r="A109" s="19"/>
      <c r="B109" s="26" t="s">
        <v>110</v>
      </c>
      <c r="C109" s="47" t="s">
        <v>129</v>
      </c>
      <c r="D109" s="47" t="s">
        <v>129</v>
      </c>
      <c r="E109" s="47" t="s">
        <v>129</v>
      </c>
      <c r="F109" s="47" t="s">
        <v>129</v>
      </c>
      <c r="G109" s="47" t="s">
        <v>129</v>
      </c>
    </row>
    <row r="110" spans="1:7" s="11" customFormat="1" ht="21.75" customHeight="1" x14ac:dyDescent="0.25">
      <c r="A110" s="19"/>
      <c r="B110" s="26" t="s">
        <v>111</v>
      </c>
      <c r="C110" s="47" t="s">
        <v>129</v>
      </c>
      <c r="D110" s="47" t="s">
        <v>129</v>
      </c>
      <c r="E110" s="47" t="s">
        <v>129</v>
      </c>
      <c r="F110" s="47" t="s">
        <v>129</v>
      </c>
      <c r="G110" s="47" t="s">
        <v>129</v>
      </c>
    </row>
    <row r="111" spans="1:7" s="11" customFormat="1" ht="21.75" customHeight="1" x14ac:dyDescent="0.25">
      <c r="A111" s="16" t="s">
        <v>34</v>
      </c>
      <c r="B111" s="6" t="s">
        <v>38</v>
      </c>
      <c r="C111" s="45"/>
      <c r="D111" s="45"/>
      <c r="E111" s="6"/>
      <c r="F111" s="6"/>
      <c r="G111" s="46"/>
    </row>
    <row r="112" spans="1:7" ht="21.75" customHeight="1" x14ac:dyDescent="0.25">
      <c r="A112" s="19"/>
      <c r="B112" s="26" t="s">
        <v>40</v>
      </c>
      <c r="C112" s="54" t="s">
        <v>129</v>
      </c>
      <c r="D112" s="47" t="s">
        <v>200</v>
      </c>
      <c r="E112" s="49" t="s">
        <v>129</v>
      </c>
      <c r="F112" s="47" t="s">
        <v>129</v>
      </c>
      <c r="G112" s="47" t="s">
        <v>129</v>
      </c>
    </row>
    <row r="113" spans="1:7" s="11" customFormat="1" ht="21" customHeight="1" x14ac:dyDescent="0.25">
      <c r="A113" s="16" t="s">
        <v>34</v>
      </c>
      <c r="B113" s="6" t="s">
        <v>12</v>
      </c>
      <c r="C113" s="45"/>
      <c r="D113" s="45"/>
      <c r="E113" s="6"/>
      <c r="F113" s="6"/>
      <c r="G113" s="46"/>
    </row>
    <row r="114" spans="1:7" ht="21" customHeight="1" x14ac:dyDescent="0.25">
      <c r="A114" s="19"/>
      <c r="B114" s="26" t="s">
        <v>14</v>
      </c>
      <c r="C114" s="192" t="s">
        <v>129</v>
      </c>
      <c r="D114" s="195" t="s">
        <v>201</v>
      </c>
      <c r="E114" s="195" t="s">
        <v>129</v>
      </c>
      <c r="F114" s="47" t="s">
        <v>129</v>
      </c>
      <c r="G114" s="47" t="s">
        <v>129</v>
      </c>
    </row>
    <row r="115" spans="1:7" ht="21" customHeight="1" x14ac:dyDescent="0.25">
      <c r="A115" s="19"/>
      <c r="B115" s="26" t="s">
        <v>15</v>
      </c>
      <c r="C115" s="193"/>
      <c r="D115" s="196"/>
      <c r="E115" s="196"/>
      <c r="F115" s="47" t="s">
        <v>129</v>
      </c>
      <c r="G115" s="47" t="s">
        <v>129</v>
      </c>
    </row>
    <row r="116" spans="1:7" ht="21" customHeight="1" x14ac:dyDescent="0.25">
      <c r="A116" s="19"/>
      <c r="B116" s="26" t="s">
        <v>16</v>
      </c>
      <c r="C116" s="193"/>
      <c r="D116" s="196"/>
      <c r="E116" s="196"/>
      <c r="F116" s="47" t="s">
        <v>129</v>
      </c>
      <c r="G116" s="47" t="s">
        <v>129</v>
      </c>
    </row>
    <row r="117" spans="1:7" ht="21" customHeight="1" x14ac:dyDescent="0.25">
      <c r="A117" s="19"/>
      <c r="B117" s="26" t="s">
        <v>17</v>
      </c>
      <c r="C117" s="193"/>
      <c r="D117" s="196"/>
      <c r="E117" s="196"/>
      <c r="F117" s="47" t="s">
        <v>129</v>
      </c>
      <c r="G117" s="47" t="s">
        <v>129</v>
      </c>
    </row>
    <row r="118" spans="1:7" ht="21" customHeight="1" x14ac:dyDescent="0.25">
      <c r="A118" s="19"/>
      <c r="B118" s="26" t="s">
        <v>18</v>
      </c>
      <c r="C118" s="193"/>
      <c r="D118" s="196"/>
      <c r="E118" s="196"/>
      <c r="F118" s="47" t="s">
        <v>129</v>
      </c>
      <c r="G118" s="47" t="s">
        <v>129</v>
      </c>
    </row>
    <row r="119" spans="1:7" ht="21" customHeight="1" x14ac:dyDescent="0.25">
      <c r="A119" s="19"/>
      <c r="B119" s="26" t="s">
        <v>19</v>
      </c>
      <c r="C119" s="193"/>
      <c r="D119" s="196"/>
      <c r="E119" s="196"/>
      <c r="F119" s="47" t="s">
        <v>129</v>
      </c>
      <c r="G119" s="47" t="s">
        <v>129</v>
      </c>
    </row>
    <row r="120" spans="1:7" ht="21" customHeight="1" x14ac:dyDescent="0.25">
      <c r="A120" s="19"/>
      <c r="B120" s="26" t="s">
        <v>20</v>
      </c>
      <c r="C120" s="193"/>
      <c r="D120" s="196"/>
      <c r="E120" s="196"/>
      <c r="F120" s="47" t="s">
        <v>129</v>
      </c>
      <c r="G120" s="47" t="s">
        <v>129</v>
      </c>
    </row>
    <row r="121" spans="1:7" ht="21" customHeight="1" x14ac:dyDescent="0.25">
      <c r="A121" s="19"/>
      <c r="B121" s="26" t="s">
        <v>21</v>
      </c>
      <c r="C121" s="193"/>
      <c r="D121" s="196"/>
      <c r="E121" s="196"/>
      <c r="F121" s="47" t="s">
        <v>129</v>
      </c>
      <c r="G121" s="47" t="s">
        <v>129</v>
      </c>
    </row>
    <row r="122" spans="1:7" ht="21.75" customHeight="1" x14ac:dyDescent="0.25">
      <c r="A122" s="19"/>
      <c r="B122" s="26" t="s">
        <v>41</v>
      </c>
      <c r="C122" s="194"/>
      <c r="D122" s="198"/>
      <c r="E122" s="198"/>
      <c r="F122" s="47" t="s">
        <v>129</v>
      </c>
      <c r="G122" s="47" t="s">
        <v>129</v>
      </c>
    </row>
    <row r="123" spans="1:7" s="11" customFormat="1" ht="21.75" customHeight="1" x14ac:dyDescent="0.25">
      <c r="A123" s="16" t="s">
        <v>34</v>
      </c>
      <c r="B123" s="6" t="s">
        <v>39</v>
      </c>
      <c r="C123" s="45"/>
      <c r="D123" s="45"/>
      <c r="E123" s="6"/>
      <c r="F123" s="6"/>
      <c r="G123" s="46"/>
    </row>
    <row r="124" spans="1:7" ht="21.75" customHeight="1" x14ac:dyDescent="0.25">
      <c r="A124" s="19"/>
      <c r="B124" s="26" t="s">
        <v>112</v>
      </c>
      <c r="C124" s="49" t="s">
        <v>129</v>
      </c>
      <c r="D124" s="47" t="s">
        <v>202</v>
      </c>
      <c r="E124" s="47" t="s">
        <v>129</v>
      </c>
      <c r="F124" s="47" t="s">
        <v>129</v>
      </c>
      <c r="G124" s="47" t="s">
        <v>129</v>
      </c>
    </row>
    <row r="125" spans="1:7" s="11" customFormat="1" ht="21.75" customHeight="1" x14ac:dyDescent="0.25">
      <c r="A125" s="16" t="s">
        <v>34</v>
      </c>
      <c r="B125" s="6" t="s">
        <v>29</v>
      </c>
      <c r="C125" s="45"/>
      <c r="D125" s="45"/>
      <c r="E125" s="6"/>
      <c r="F125" s="6"/>
      <c r="G125" s="46"/>
    </row>
    <row r="126" spans="1:7" ht="21.75" customHeight="1" x14ac:dyDescent="0.25">
      <c r="A126" s="19"/>
      <c r="B126" s="30" t="s">
        <v>31</v>
      </c>
      <c r="C126" s="199" t="s">
        <v>129</v>
      </c>
      <c r="D126" s="200" t="s">
        <v>203</v>
      </c>
      <c r="E126" s="200" t="s">
        <v>129</v>
      </c>
      <c r="F126" s="47" t="s">
        <v>129</v>
      </c>
      <c r="G126" s="47" t="s">
        <v>129</v>
      </c>
    </row>
    <row r="127" spans="1:7" ht="21.75" customHeight="1" x14ac:dyDescent="0.25">
      <c r="A127" s="19"/>
      <c r="B127" s="30" t="s">
        <v>25</v>
      </c>
      <c r="C127" s="199"/>
      <c r="D127" s="200"/>
      <c r="E127" s="200"/>
      <c r="F127" s="47" t="s">
        <v>129</v>
      </c>
      <c r="G127" s="47" t="s">
        <v>129</v>
      </c>
    </row>
    <row r="128" spans="1:7" ht="21.75" customHeight="1" x14ac:dyDescent="0.25">
      <c r="A128" s="19"/>
      <c r="B128" s="30" t="s">
        <v>22</v>
      </c>
      <c r="C128" s="199"/>
      <c r="D128" s="200"/>
      <c r="E128" s="200"/>
      <c r="F128" s="47" t="s">
        <v>129</v>
      </c>
      <c r="G128" s="47" t="s">
        <v>129</v>
      </c>
    </row>
    <row r="129" spans="1:7" s="11" customFormat="1" ht="21.75" customHeight="1" x14ac:dyDescent="0.25">
      <c r="A129" s="16" t="s">
        <v>34</v>
      </c>
      <c r="B129" s="6" t="s">
        <v>26</v>
      </c>
      <c r="C129" s="45"/>
      <c r="D129" s="45"/>
      <c r="E129" s="6"/>
      <c r="F129" s="6"/>
      <c r="G129" s="46"/>
    </row>
    <row r="130" spans="1:7" ht="21.75" customHeight="1" x14ac:dyDescent="0.25">
      <c r="A130" s="19"/>
      <c r="B130" s="26" t="s">
        <v>427</v>
      </c>
      <c r="C130" s="56" t="s">
        <v>129</v>
      </c>
      <c r="D130" s="195" t="s">
        <v>204</v>
      </c>
      <c r="E130" s="62" t="s">
        <v>129</v>
      </c>
      <c r="F130" s="47" t="s">
        <v>129</v>
      </c>
      <c r="G130" s="47" t="s">
        <v>129</v>
      </c>
    </row>
    <row r="131" spans="1:7" s="11" customFormat="1" ht="21.75" customHeight="1" x14ac:dyDescent="0.25">
      <c r="A131" s="16" t="s">
        <v>34</v>
      </c>
      <c r="B131" s="6" t="s">
        <v>23</v>
      </c>
      <c r="C131" s="45"/>
      <c r="D131" s="196"/>
      <c r="E131" s="6"/>
      <c r="F131" s="6"/>
      <c r="G131" s="46"/>
    </row>
    <row r="132" spans="1:7" ht="18.75" customHeight="1" x14ac:dyDescent="0.25">
      <c r="A132" s="19"/>
      <c r="B132" s="30" t="s">
        <v>27</v>
      </c>
      <c r="C132" s="56" t="s">
        <v>129</v>
      </c>
      <c r="D132" s="196"/>
      <c r="E132" s="62" t="s">
        <v>129</v>
      </c>
      <c r="F132" s="47" t="s">
        <v>129</v>
      </c>
      <c r="G132" s="47" t="s">
        <v>129</v>
      </c>
    </row>
    <row r="133" spans="1:7" ht="21.75" customHeight="1" x14ac:dyDescent="0.25">
      <c r="A133" s="19"/>
      <c r="B133" s="30" t="s">
        <v>42</v>
      </c>
      <c r="C133" s="56" t="s">
        <v>129</v>
      </c>
      <c r="D133" s="196"/>
      <c r="E133" s="62" t="s">
        <v>129</v>
      </c>
      <c r="F133" s="47" t="s">
        <v>129</v>
      </c>
      <c r="G133" s="47" t="s">
        <v>129</v>
      </c>
    </row>
    <row r="134" spans="1:7" ht="21.75" customHeight="1" x14ac:dyDescent="0.25">
      <c r="A134" s="19"/>
      <c r="B134" s="30" t="s">
        <v>28</v>
      </c>
      <c r="C134" s="56" t="s">
        <v>129</v>
      </c>
      <c r="D134" s="198"/>
      <c r="E134" s="62" t="s">
        <v>129</v>
      </c>
      <c r="F134" s="47" t="s">
        <v>129</v>
      </c>
      <c r="G134" s="47" t="s">
        <v>129</v>
      </c>
    </row>
    <row r="135" spans="1:7" s="11" customFormat="1" ht="21.75" customHeight="1" x14ac:dyDescent="0.25">
      <c r="A135" s="16" t="s">
        <v>34</v>
      </c>
      <c r="B135" s="6" t="s">
        <v>43</v>
      </c>
      <c r="C135" s="45"/>
      <c r="D135" s="45"/>
      <c r="E135" s="6"/>
      <c r="F135" s="6"/>
      <c r="G135" s="46"/>
    </row>
    <row r="136" spans="1:7" ht="21.75" customHeight="1" x14ac:dyDescent="0.25">
      <c r="A136" s="20"/>
      <c r="B136" s="26" t="s">
        <v>44</v>
      </c>
      <c r="C136" s="49" t="s">
        <v>129</v>
      </c>
      <c r="D136" s="47" t="s">
        <v>205</v>
      </c>
      <c r="E136" s="47" t="s">
        <v>129</v>
      </c>
      <c r="F136" s="47" t="s">
        <v>129</v>
      </c>
      <c r="G136" s="47" t="s">
        <v>129</v>
      </c>
    </row>
    <row r="137" spans="1:7" s="11" customFormat="1" ht="21.75" customHeight="1" x14ac:dyDescent="0.25">
      <c r="A137" s="16" t="s">
        <v>34</v>
      </c>
      <c r="B137" s="6" t="s">
        <v>87</v>
      </c>
      <c r="C137" s="45"/>
      <c r="D137" s="45"/>
      <c r="E137" s="6"/>
      <c r="F137" s="6"/>
      <c r="G137" s="46"/>
    </row>
    <row r="138" spans="1:7" ht="21.75" customHeight="1" x14ac:dyDescent="0.25">
      <c r="A138" s="34"/>
      <c r="B138" s="26" t="s">
        <v>83</v>
      </c>
      <c r="C138" s="49" t="s">
        <v>129</v>
      </c>
      <c r="D138" s="49" t="s">
        <v>129</v>
      </c>
      <c r="E138" s="49" t="s">
        <v>129</v>
      </c>
      <c r="F138" s="49" t="s">
        <v>129</v>
      </c>
      <c r="G138" s="49" t="s">
        <v>129</v>
      </c>
    </row>
    <row r="139" spans="1:7" ht="21.75" customHeight="1" x14ac:dyDescent="0.25">
      <c r="A139" s="19"/>
      <c r="B139" s="26" t="s">
        <v>88</v>
      </c>
      <c r="C139" s="49" t="s">
        <v>129</v>
      </c>
      <c r="D139" s="49" t="s">
        <v>129</v>
      </c>
      <c r="E139" s="49" t="s">
        <v>129</v>
      </c>
      <c r="F139" s="49" t="s">
        <v>129</v>
      </c>
      <c r="G139" s="49" t="s">
        <v>129</v>
      </c>
    </row>
    <row r="140" spans="1:7" ht="21.75" customHeight="1" x14ac:dyDescent="0.25">
      <c r="A140" s="19"/>
      <c r="B140" s="26" t="s">
        <v>84</v>
      </c>
      <c r="C140" s="49" t="s">
        <v>129</v>
      </c>
      <c r="D140" s="49" t="s">
        <v>129</v>
      </c>
      <c r="E140" s="49" t="s">
        <v>129</v>
      </c>
      <c r="F140" s="49" t="s">
        <v>129</v>
      </c>
      <c r="G140" s="49" t="s">
        <v>129</v>
      </c>
    </row>
    <row r="141" spans="1:7" ht="21.75" customHeight="1" x14ac:dyDescent="0.25">
      <c r="A141" s="19"/>
      <c r="B141" s="26" t="s">
        <v>119</v>
      </c>
      <c r="C141" s="49" t="s">
        <v>129</v>
      </c>
      <c r="D141" s="49" t="s">
        <v>129</v>
      </c>
      <c r="E141" s="49" t="s">
        <v>129</v>
      </c>
      <c r="F141" s="49" t="s">
        <v>129</v>
      </c>
      <c r="G141" s="49" t="s">
        <v>129</v>
      </c>
    </row>
    <row r="142" spans="1:7" ht="21.75" customHeight="1" x14ac:dyDescent="0.25">
      <c r="A142" s="19"/>
      <c r="B142" s="26" t="s">
        <v>85</v>
      </c>
      <c r="C142" s="49" t="s">
        <v>129</v>
      </c>
      <c r="D142" s="49" t="s">
        <v>129</v>
      </c>
      <c r="E142" s="49" t="s">
        <v>129</v>
      </c>
      <c r="F142" s="49" t="s">
        <v>129</v>
      </c>
      <c r="G142" s="49" t="s">
        <v>129</v>
      </c>
    </row>
    <row r="143" spans="1:7" ht="21.75" customHeight="1" x14ac:dyDescent="0.25">
      <c r="A143" s="19"/>
      <c r="B143" s="26" t="s">
        <v>89</v>
      </c>
      <c r="C143" s="49" t="s">
        <v>129</v>
      </c>
      <c r="D143" s="49" t="s">
        <v>129</v>
      </c>
      <c r="E143" s="49" t="s">
        <v>129</v>
      </c>
      <c r="F143" s="49" t="s">
        <v>129</v>
      </c>
      <c r="G143" s="49" t="s">
        <v>129</v>
      </c>
    </row>
    <row r="144" spans="1:7" ht="21.75" customHeight="1" x14ac:dyDescent="0.25">
      <c r="A144" s="19"/>
      <c r="B144" s="26" t="s">
        <v>86</v>
      </c>
      <c r="C144" s="49" t="s">
        <v>129</v>
      </c>
      <c r="D144" s="49" t="s">
        <v>129</v>
      </c>
      <c r="E144" s="49" t="s">
        <v>129</v>
      </c>
      <c r="F144" s="49" t="s">
        <v>129</v>
      </c>
      <c r="G144" s="49" t="s">
        <v>129</v>
      </c>
    </row>
    <row r="145" spans="1:7" s="15" customFormat="1" ht="21.75" customHeight="1" x14ac:dyDescent="0.25">
      <c r="A145" s="12">
        <v>5</v>
      </c>
      <c r="B145" s="13" t="s">
        <v>35</v>
      </c>
      <c r="C145" s="44"/>
      <c r="D145" s="44"/>
      <c r="E145" s="14"/>
      <c r="F145" s="14"/>
      <c r="G145" s="55" t="s">
        <v>137</v>
      </c>
    </row>
    <row r="146" spans="1:7" s="11" customFormat="1" ht="21.75" customHeight="1" x14ac:dyDescent="0.25">
      <c r="A146" s="16" t="s">
        <v>34</v>
      </c>
      <c r="B146" s="6" t="s">
        <v>207</v>
      </c>
      <c r="C146" s="45"/>
      <c r="D146" s="45"/>
      <c r="E146" s="6"/>
      <c r="F146" s="6"/>
      <c r="G146" s="46"/>
    </row>
    <row r="147" spans="1:7" ht="21.75" customHeight="1" x14ac:dyDescent="0.25">
      <c r="A147" s="19"/>
      <c r="B147" s="10" t="s">
        <v>94</v>
      </c>
      <c r="C147" s="47"/>
      <c r="D147" s="47"/>
      <c r="E147" s="48"/>
      <c r="F147" s="48"/>
      <c r="G147" s="47"/>
    </row>
    <row r="148" spans="1:7" ht="21.75" customHeight="1" x14ac:dyDescent="0.25">
      <c r="A148" s="19"/>
      <c r="B148" s="10" t="s">
        <v>206</v>
      </c>
      <c r="C148" s="47"/>
      <c r="D148" s="47"/>
      <c r="E148" s="48"/>
      <c r="F148" s="48"/>
      <c r="G148" s="47"/>
    </row>
    <row r="149" spans="1:7" s="11" customFormat="1" ht="21.75" customHeight="1" x14ac:dyDescent="0.25">
      <c r="A149" s="16" t="s">
        <v>34</v>
      </c>
      <c r="B149" s="6" t="s">
        <v>190</v>
      </c>
      <c r="C149" s="45"/>
      <c r="D149" s="45"/>
      <c r="E149" s="6"/>
      <c r="F149" s="6"/>
      <c r="G149" s="66"/>
    </row>
    <row r="150" spans="1:7" ht="21.75" customHeight="1" x14ac:dyDescent="0.25">
      <c r="A150" s="19"/>
      <c r="B150" s="10" t="s">
        <v>450</v>
      </c>
      <c r="C150" s="54"/>
      <c r="D150" s="47" t="s">
        <v>200</v>
      </c>
      <c r="E150" s="48"/>
      <c r="F150" s="48"/>
      <c r="G150" s="47"/>
    </row>
    <row r="151" spans="1:7" ht="21.75" customHeight="1" x14ac:dyDescent="0.25">
      <c r="A151" s="19"/>
      <c r="B151" s="10" t="s">
        <v>448</v>
      </c>
      <c r="C151" s="54"/>
      <c r="D151" s="195" t="s">
        <v>201</v>
      </c>
      <c r="E151" s="48"/>
      <c r="F151" s="48"/>
      <c r="G151" s="47"/>
    </row>
    <row r="152" spans="1:7" ht="21.75" customHeight="1" x14ac:dyDescent="0.25">
      <c r="A152" s="19"/>
      <c r="B152" s="10" t="s">
        <v>449</v>
      </c>
      <c r="C152" s="54" t="s">
        <v>445</v>
      </c>
      <c r="D152" s="198"/>
      <c r="E152" s="48"/>
      <c r="F152" s="48"/>
      <c r="G152" s="47"/>
    </row>
    <row r="153" spans="1:7" ht="21.75" customHeight="1" x14ac:dyDescent="0.25">
      <c r="A153" s="19"/>
      <c r="B153" s="10" t="s">
        <v>451</v>
      </c>
      <c r="C153" s="47"/>
      <c r="D153" s="47"/>
      <c r="E153" s="48"/>
      <c r="F153" s="48"/>
      <c r="G153" s="47"/>
    </row>
    <row r="154" spans="1:7" s="11" customFormat="1" ht="21.75" customHeight="1" x14ac:dyDescent="0.25">
      <c r="A154" s="16" t="s">
        <v>34</v>
      </c>
      <c r="B154" s="6" t="s">
        <v>103</v>
      </c>
      <c r="C154" s="45"/>
      <c r="D154" s="45"/>
      <c r="E154" s="6"/>
      <c r="F154" s="6"/>
      <c r="G154" s="66"/>
    </row>
    <row r="155" spans="1:7" ht="34.5" customHeight="1" x14ac:dyDescent="0.25">
      <c r="A155" s="19"/>
      <c r="B155" s="30" t="s">
        <v>446</v>
      </c>
      <c r="C155" s="47"/>
      <c r="D155" s="47"/>
      <c r="E155" s="48"/>
      <c r="F155" s="48"/>
      <c r="G155" s="47"/>
    </row>
    <row r="156" spans="1:7" ht="21.75" customHeight="1" x14ac:dyDescent="0.25">
      <c r="A156" s="19"/>
      <c r="B156" s="26" t="s">
        <v>104</v>
      </c>
      <c r="C156" s="47"/>
      <c r="D156" s="47"/>
      <c r="E156" s="48"/>
      <c r="F156" s="48"/>
      <c r="G156" s="47"/>
    </row>
    <row r="157" spans="1:7" s="15" customFormat="1" ht="21" customHeight="1" x14ac:dyDescent="0.25">
      <c r="A157" s="28">
        <v>6</v>
      </c>
      <c r="B157" s="13" t="s">
        <v>36</v>
      </c>
      <c r="C157" s="44"/>
      <c r="D157" s="44"/>
      <c r="E157" s="14"/>
      <c r="F157" s="14"/>
      <c r="G157" s="55" t="s">
        <v>137</v>
      </c>
    </row>
    <row r="158" spans="1:7" s="11" customFormat="1" ht="21.75" customHeight="1" x14ac:dyDescent="0.25">
      <c r="A158" s="16" t="s">
        <v>34</v>
      </c>
      <c r="B158" s="6" t="s">
        <v>30</v>
      </c>
      <c r="C158" s="45"/>
      <c r="D158" s="45"/>
      <c r="E158" s="6"/>
      <c r="F158" s="6"/>
      <c r="G158" s="46"/>
    </row>
    <row r="159" spans="1:7" ht="21.75" customHeight="1" x14ac:dyDescent="0.25">
      <c r="A159" s="19"/>
      <c r="B159" s="26" t="s">
        <v>78</v>
      </c>
      <c r="C159" s="49"/>
      <c r="D159" s="49"/>
      <c r="E159" s="48"/>
      <c r="F159" s="48"/>
      <c r="G159" s="49"/>
    </row>
    <row r="160" spans="1:7" ht="21.75" customHeight="1" x14ac:dyDescent="0.25">
      <c r="A160" s="19"/>
      <c r="B160" s="26" t="s">
        <v>77</v>
      </c>
      <c r="C160" s="49"/>
      <c r="D160" s="49"/>
      <c r="E160" s="48"/>
      <c r="F160" s="48"/>
      <c r="G160" s="49"/>
    </row>
    <row r="161" spans="1:7" ht="21.75" customHeight="1" x14ac:dyDescent="0.25">
      <c r="A161" s="19"/>
      <c r="B161" s="26" t="s">
        <v>91</v>
      </c>
      <c r="C161" s="49"/>
      <c r="D161" s="49"/>
      <c r="E161" s="48"/>
      <c r="F161" s="48"/>
      <c r="G161" s="49"/>
    </row>
    <row r="162" spans="1:7" ht="21.75" customHeight="1" x14ac:dyDescent="0.25">
      <c r="A162" s="19"/>
      <c r="B162" s="26" t="s">
        <v>92</v>
      </c>
      <c r="C162" s="49"/>
      <c r="D162" s="49"/>
      <c r="E162" s="48"/>
      <c r="F162" s="48"/>
      <c r="G162" s="49"/>
    </row>
    <row r="163" spans="1:7" s="15" customFormat="1" ht="21" customHeight="1" x14ac:dyDescent="0.25">
      <c r="A163" s="12">
        <v>7</v>
      </c>
      <c r="B163" s="14" t="s">
        <v>385</v>
      </c>
      <c r="C163" s="44"/>
      <c r="D163" s="44"/>
      <c r="E163" s="14"/>
      <c r="F163" s="14"/>
      <c r="G163" s="55" t="s">
        <v>138</v>
      </c>
    </row>
    <row r="164" spans="1:7" s="11" customFormat="1" ht="21.75" customHeight="1" x14ac:dyDescent="0.25">
      <c r="A164" s="16" t="s">
        <v>34</v>
      </c>
      <c r="B164" s="6" t="s">
        <v>212</v>
      </c>
      <c r="C164" s="45"/>
      <c r="D164" s="45"/>
      <c r="E164" s="6"/>
      <c r="F164" s="6"/>
      <c r="G164" s="46"/>
    </row>
    <row r="165" spans="1:7" ht="21.75" customHeight="1" x14ac:dyDescent="0.25">
      <c r="A165" s="19"/>
      <c r="B165" s="10" t="s">
        <v>75</v>
      </c>
      <c r="C165" s="47"/>
      <c r="D165" s="47"/>
      <c r="E165" s="48"/>
      <c r="F165" s="48"/>
      <c r="G165" s="47"/>
    </row>
    <row r="166" spans="1:7" ht="21.75" customHeight="1" x14ac:dyDescent="0.25">
      <c r="A166" s="19"/>
      <c r="B166" s="26" t="s">
        <v>120</v>
      </c>
      <c r="C166" s="49"/>
      <c r="D166" s="49"/>
      <c r="E166" s="48"/>
      <c r="F166" s="48"/>
      <c r="G166" s="49"/>
    </row>
    <row r="167" spans="1:7" ht="36" customHeight="1" x14ac:dyDescent="0.25">
      <c r="A167" s="19"/>
      <c r="B167" s="30" t="s">
        <v>93</v>
      </c>
      <c r="C167" s="49"/>
      <c r="D167" s="49"/>
      <c r="E167" s="48"/>
      <c r="F167" s="48"/>
      <c r="G167" s="49"/>
    </row>
    <row r="168" spans="1:7" ht="21.75" customHeight="1" x14ac:dyDescent="0.25">
      <c r="A168" s="19"/>
      <c r="B168" s="26" t="s">
        <v>121</v>
      </c>
      <c r="C168" s="49"/>
      <c r="D168" s="49"/>
      <c r="E168" s="48"/>
      <c r="F168" s="48"/>
      <c r="G168" s="49"/>
    </row>
    <row r="169" spans="1:7" ht="21.75" customHeight="1" x14ac:dyDescent="0.25">
      <c r="A169" s="19"/>
      <c r="B169" s="26" t="s">
        <v>99</v>
      </c>
      <c r="C169" s="49"/>
      <c r="D169" s="49"/>
      <c r="E169" s="48"/>
      <c r="F169" s="48"/>
      <c r="G169" s="49"/>
    </row>
    <row r="170" spans="1:7" ht="21.75" customHeight="1" x14ac:dyDescent="0.25">
      <c r="A170" s="19"/>
      <c r="B170" s="26" t="s">
        <v>279</v>
      </c>
      <c r="C170" s="49"/>
      <c r="D170" s="49"/>
      <c r="E170" s="48"/>
      <c r="F170" s="48"/>
      <c r="G170" s="49"/>
    </row>
    <row r="171" spans="1:7" ht="21.75" customHeight="1" x14ac:dyDescent="0.25">
      <c r="A171" s="19"/>
      <c r="B171" s="26" t="s">
        <v>280</v>
      </c>
      <c r="C171" s="49"/>
      <c r="D171" s="49"/>
      <c r="E171" s="48"/>
      <c r="F171" s="48"/>
      <c r="G171" s="49"/>
    </row>
    <row r="172" spans="1:7" ht="21.75" customHeight="1" x14ac:dyDescent="0.25">
      <c r="A172" s="19"/>
      <c r="B172" s="26" t="s">
        <v>281</v>
      </c>
      <c r="C172" s="49"/>
      <c r="D172" s="49"/>
      <c r="E172" s="48"/>
      <c r="F172" s="48"/>
      <c r="G172" s="49"/>
    </row>
    <row r="173" spans="1:7" ht="31.5" customHeight="1" x14ac:dyDescent="0.25">
      <c r="A173" s="19"/>
      <c r="B173" s="30" t="s">
        <v>130</v>
      </c>
      <c r="C173" s="49"/>
      <c r="D173" s="49"/>
      <c r="E173" s="48"/>
      <c r="F173" s="48"/>
      <c r="G173" s="49"/>
    </row>
    <row r="174" spans="1:7" ht="21.75" customHeight="1" x14ac:dyDescent="0.25">
      <c r="A174" s="19"/>
      <c r="B174" s="26" t="s">
        <v>95</v>
      </c>
      <c r="C174" s="49"/>
      <c r="D174" s="49"/>
      <c r="E174" s="48"/>
      <c r="F174" s="48"/>
      <c r="G174" s="49"/>
    </row>
    <row r="175" spans="1:7" ht="21.75" customHeight="1" x14ac:dyDescent="0.25">
      <c r="A175" s="19"/>
      <c r="B175" s="26" t="s">
        <v>96</v>
      </c>
      <c r="C175" s="49"/>
      <c r="D175" s="49"/>
      <c r="E175" s="48"/>
      <c r="F175" s="48"/>
      <c r="G175" s="49"/>
    </row>
    <row r="176" spans="1:7" ht="21.75" customHeight="1" x14ac:dyDescent="0.25">
      <c r="A176" s="19"/>
      <c r="B176" s="26" t="s">
        <v>97</v>
      </c>
      <c r="C176" s="49"/>
      <c r="D176" s="49"/>
      <c r="E176" s="48"/>
      <c r="F176" s="48"/>
      <c r="G176" s="49"/>
    </row>
    <row r="177" spans="1:7" ht="33" customHeight="1" x14ac:dyDescent="0.25">
      <c r="A177" s="19"/>
      <c r="B177" s="30" t="s">
        <v>100</v>
      </c>
      <c r="C177" s="49"/>
      <c r="D177" s="49" t="s">
        <v>387</v>
      </c>
      <c r="E177" s="48"/>
      <c r="F177" s="48"/>
      <c r="G177" s="49"/>
    </row>
    <row r="178" spans="1:7" ht="21.75" customHeight="1" x14ac:dyDescent="0.25">
      <c r="A178" s="19"/>
      <c r="B178" s="26" t="s">
        <v>101</v>
      </c>
      <c r="C178" s="49"/>
      <c r="D178" s="49"/>
      <c r="E178" s="48"/>
      <c r="F178" s="48"/>
      <c r="G178" s="49"/>
    </row>
    <row r="179" spans="1:7" ht="37.5" customHeight="1" x14ac:dyDescent="0.25">
      <c r="A179" s="19"/>
      <c r="B179" s="30" t="s">
        <v>431</v>
      </c>
      <c r="C179" s="49"/>
      <c r="D179" s="49" t="s">
        <v>388</v>
      </c>
      <c r="E179" s="48"/>
      <c r="F179" s="48"/>
      <c r="G179" s="49"/>
    </row>
    <row r="180" spans="1:7" s="11" customFormat="1" ht="21.75" customHeight="1" x14ac:dyDescent="0.25">
      <c r="A180" s="16" t="s">
        <v>34</v>
      </c>
      <c r="B180" s="6" t="s">
        <v>190</v>
      </c>
      <c r="C180" s="45"/>
      <c r="D180" s="45"/>
      <c r="E180" s="6"/>
      <c r="F180" s="6"/>
      <c r="G180" s="46"/>
    </row>
    <row r="181" spans="1:7" ht="21.75" customHeight="1" x14ac:dyDescent="0.25">
      <c r="A181" s="19"/>
      <c r="B181" s="10" t="s">
        <v>82</v>
      </c>
      <c r="C181" s="54"/>
      <c r="D181" s="54"/>
      <c r="E181" s="48"/>
      <c r="F181" s="48"/>
      <c r="G181" s="47"/>
    </row>
    <row r="182" spans="1:7" ht="21.75" customHeight="1" x14ac:dyDescent="0.25">
      <c r="A182" s="19"/>
      <c r="B182" s="10" t="s">
        <v>246</v>
      </c>
      <c r="C182" s="54"/>
      <c r="D182" s="54"/>
      <c r="E182" s="48"/>
      <c r="F182" s="48"/>
      <c r="G182" s="47"/>
    </row>
    <row r="183" spans="1:7" ht="21.75" customHeight="1" x14ac:dyDescent="0.25">
      <c r="A183" s="19"/>
      <c r="B183" s="10" t="s">
        <v>221</v>
      </c>
      <c r="C183" s="54"/>
      <c r="D183" s="54"/>
      <c r="E183" s="48"/>
      <c r="F183" s="48"/>
      <c r="G183" s="47"/>
    </row>
    <row r="184" spans="1:7" ht="21.75" customHeight="1" x14ac:dyDescent="0.25">
      <c r="A184" s="19"/>
      <c r="B184" s="26" t="s">
        <v>208</v>
      </c>
      <c r="C184" s="54"/>
      <c r="D184" s="54"/>
      <c r="E184" s="48"/>
      <c r="F184" s="48"/>
      <c r="G184" s="47"/>
    </row>
    <row r="185" spans="1:7" ht="21.75" customHeight="1" x14ac:dyDescent="0.25">
      <c r="A185" s="33"/>
      <c r="B185" s="37" t="s">
        <v>222</v>
      </c>
      <c r="C185" s="47"/>
      <c r="D185" s="47"/>
      <c r="E185" s="48"/>
      <c r="F185" s="48"/>
      <c r="G185" s="47"/>
    </row>
    <row r="186" spans="1:7" ht="21.75" customHeight="1" x14ac:dyDescent="0.25">
      <c r="A186" s="33"/>
      <c r="B186" s="37" t="s">
        <v>98</v>
      </c>
      <c r="C186" s="47"/>
      <c r="D186" s="47"/>
      <c r="E186" s="48"/>
      <c r="F186" s="48"/>
      <c r="G186" s="47"/>
    </row>
    <row r="187" spans="1:7" ht="21.75" customHeight="1" x14ac:dyDescent="0.25">
      <c r="A187" s="19"/>
      <c r="B187" s="26" t="s">
        <v>90</v>
      </c>
      <c r="C187" s="47"/>
      <c r="D187" s="47"/>
      <c r="E187" s="48"/>
      <c r="F187" s="48"/>
      <c r="G187" s="47"/>
    </row>
    <row r="188" spans="1:7" s="11" customFormat="1" ht="21.75" customHeight="1" x14ac:dyDescent="0.25">
      <c r="A188" s="16" t="s">
        <v>34</v>
      </c>
      <c r="B188" s="6" t="s">
        <v>213</v>
      </c>
      <c r="C188" s="45"/>
      <c r="D188" s="45"/>
      <c r="E188" s="6"/>
      <c r="F188" s="6"/>
      <c r="G188" s="46"/>
    </row>
    <row r="189" spans="1:7" ht="21.75" customHeight="1" x14ac:dyDescent="0.25">
      <c r="A189" s="19"/>
      <c r="B189" s="10" t="s">
        <v>210</v>
      </c>
      <c r="C189" s="47"/>
      <c r="D189" s="47"/>
      <c r="E189" s="48"/>
      <c r="F189" s="48"/>
      <c r="G189" s="47"/>
    </row>
    <row r="190" spans="1:7" ht="21.75" customHeight="1" x14ac:dyDescent="0.25">
      <c r="A190" s="19"/>
      <c r="B190" s="10" t="s">
        <v>211</v>
      </c>
      <c r="C190" s="47"/>
      <c r="D190" s="47"/>
      <c r="E190" s="48"/>
      <c r="F190" s="48"/>
      <c r="G190" s="47"/>
    </row>
    <row r="191" spans="1:7" ht="21.75" customHeight="1" x14ac:dyDescent="0.25">
      <c r="A191" s="19"/>
      <c r="B191" s="10" t="s">
        <v>224</v>
      </c>
      <c r="C191" s="47"/>
      <c r="D191" s="47"/>
      <c r="E191" s="48"/>
      <c r="F191" s="48"/>
      <c r="G191" s="47"/>
    </row>
    <row r="192" spans="1:7" ht="21.75" customHeight="1" x14ac:dyDescent="0.25">
      <c r="A192" s="19"/>
      <c r="B192" s="26" t="s">
        <v>102</v>
      </c>
      <c r="C192" s="47"/>
      <c r="D192" s="47"/>
      <c r="E192" s="48"/>
      <c r="F192" s="48"/>
      <c r="G192" s="47"/>
    </row>
    <row r="193" spans="1:7" ht="21.75" customHeight="1" x14ac:dyDescent="0.25">
      <c r="A193" s="19"/>
      <c r="B193" s="26" t="s">
        <v>225</v>
      </c>
      <c r="C193" s="47"/>
      <c r="D193" s="47"/>
      <c r="E193" s="48"/>
      <c r="F193" s="48"/>
      <c r="G193" s="47"/>
    </row>
    <row r="194" spans="1:7" ht="21.75" customHeight="1" x14ac:dyDescent="0.25">
      <c r="A194" s="19"/>
      <c r="B194" s="26" t="s">
        <v>125</v>
      </c>
      <c r="C194" s="47"/>
      <c r="D194" s="47"/>
      <c r="E194" s="48"/>
      <c r="F194" s="48"/>
      <c r="G194" s="47"/>
    </row>
    <row r="195" spans="1:7" s="11" customFormat="1" ht="21.75" customHeight="1" x14ac:dyDescent="0.25">
      <c r="A195" s="16" t="s">
        <v>34</v>
      </c>
      <c r="B195" s="6" t="s">
        <v>247</v>
      </c>
      <c r="C195" s="45"/>
      <c r="D195" s="45"/>
      <c r="E195" s="6"/>
      <c r="F195" s="6"/>
      <c r="G195" s="46"/>
    </row>
    <row r="196" spans="1:7" ht="21.75" customHeight="1" x14ac:dyDescent="0.25">
      <c r="A196" s="19"/>
      <c r="B196" s="10" t="s">
        <v>248</v>
      </c>
      <c r="C196" s="47"/>
      <c r="D196" s="47"/>
      <c r="E196" s="48"/>
      <c r="F196" s="48"/>
      <c r="G196" s="47"/>
    </row>
    <row r="197" spans="1:7" s="11" customFormat="1" ht="21.75" customHeight="1" x14ac:dyDescent="0.25">
      <c r="A197" s="16" t="s">
        <v>34</v>
      </c>
      <c r="B197" s="6" t="s">
        <v>214</v>
      </c>
      <c r="C197" s="45"/>
      <c r="D197" s="45"/>
      <c r="E197" s="6"/>
      <c r="F197" s="6"/>
      <c r="G197" s="46"/>
    </row>
    <row r="198" spans="1:7" ht="21.75" customHeight="1" x14ac:dyDescent="0.25">
      <c r="A198" s="19"/>
      <c r="B198" s="10" t="s">
        <v>218</v>
      </c>
      <c r="C198" s="47"/>
      <c r="D198" s="47"/>
      <c r="E198" s="48"/>
      <c r="F198" s="48"/>
      <c r="G198" s="47"/>
    </row>
    <row r="199" spans="1:7" s="11" customFormat="1" ht="21.75" customHeight="1" x14ac:dyDescent="0.25">
      <c r="A199" s="16" t="s">
        <v>34</v>
      </c>
      <c r="B199" s="6" t="s">
        <v>215</v>
      </c>
      <c r="C199" s="45"/>
      <c r="D199" s="45"/>
      <c r="E199" s="6"/>
      <c r="F199" s="6"/>
      <c r="G199" s="46"/>
    </row>
    <row r="200" spans="1:7" ht="21.75" customHeight="1" x14ac:dyDescent="0.25">
      <c r="A200" s="19"/>
      <c r="B200" s="10" t="s">
        <v>216</v>
      </c>
      <c r="C200" s="47"/>
      <c r="D200" s="47"/>
      <c r="E200" s="48"/>
      <c r="F200" s="48"/>
      <c r="G200" s="47"/>
    </row>
    <row r="201" spans="1:7" s="11" customFormat="1" ht="21.75" customHeight="1" x14ac:dyDescent="0.25">
      <c r="A201" s="16" t="s">
        <v>34</v>
      </c>
      <c r="B201" s="6" t="s">
        <v>209</v>
      </c>
      <c r="C201" s="45"/>
      <c r="D201" s="45"/>
      <c r="E201" s="6"/>
      <c r="F201" s="6"/>
      <c r="G201" s="46"/>
    </row>
    <row r="202" spans="1:7" ht="49.5" customHeight="1" x14ac:dyDescent="0.25">
      <c r="A202" s="33"/>
      <c r="B202" s="36" t="s">
        <v>217</v>
      </c>
      <c r="C202" s="47"/>
      <c r="D202" s="49" t="s">
        <v>388</v>
      </c>
      <c r="E202" s="48"/>
      <c r="F202" s="48"/>
      <c r="G202" s="47"/>
    </row>
    <row r="203" spans="1:7" ht="21.75" customHeight="1" x14ac:dyDescent="0.25">
      <c r="A203" s="19"/>
      <c r="B203" s="26" t="s">
        <v>223</v>
      </c>
      <c r="C203" s="47"/>
      <c r="D203" s="47"/>
      <c r="E203" s="48"/>
      <c r="F203" s="48"/>
      <c r="G203" s="47"/>
    </row>
  </sheetData>
  <mergeCells count="20">
    <mergeCell ref="E114:E122"/>
    <mergeCell ref="C126:C128"/>
    <mergeCell ref="D126:D128"/>
    <mergeCell ref="E126:E128"/>
    <mergeCell ref="D151:D152"/>
    <mergeCell ref="D130:D134"/>
    <mergeCell ref="C114:C122"/>
    <mergeCell ref="D114:D122"/>
    <mergeCell ref="A1:G1"/>
    <mergeCell ref="D44:D46"/>
    <mergeCell ref="D48:D54"/>
    <mergeCell ref="F7:F8"/>
    <mergeCell ref="G7:G8"/>
    <mergeCell ref="E65:E67"/>
    <mergeCell ref="D65:D67"/>
    <mergeCell ref="D69:D71"/>
    <mergeCell ref="C7:C8"/>
    <mergeCell ref="D7:D8"/>
    <mergeCell ref="E7:E8"/>
    <mergeCell ref="D60:D61"/>
  </mergeCells>
  <pageMargins left="0.31496062992125984" right="0.31496062992125984" top="0.35433070866141736" bottom="0.35433070866141736" header="0.31496062992125984" footer="0.31496062992125984"/>
  <pageSetup paperSize="9" scale="78" fitToHeight="9" orientation="landscape" r:id="rId1"/>
  <rowBreaks count="6" manualBreakCount="6">
    <brk id="27" max="6" man="1"/>
    <brk id="54" max="6" man="1"/>
    <brk id="79" max="6" man="1"/>
    <brk id="128" max="6" man="1"/>
    <brk id="153" max="6" man="1"/>
    <brk id="17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9"/>
  <sheetViews>
    <sheetView view="pageBreakPreview" zoomScaleNormal="100" zoomScaleSheetLayoutView="100" workbookViewId="0">
      <selection activeCell="B98" sqref="B98"/>
    </sheetView>
  </sheetViews>
  <sheetFormatPr defaultRowHeight="16.5" x14ac:dyDescent="0.25"/>
  <cols>
    <col min="1" max="1" width="8.42578125" style="69" customWidth="1"/>
    <col min="2" max="2" width="82.7109375" style="69" customWidth="1"/>
    <col min="3" max="3" width="13.5703125" style="69" customWidth="1"/>
    <col min="4" max="16384" width="9.140625" style="69"/>
  </cols>
  <sheetData>
    <row r="1" spans="1:3" ht="20.25" customHeight="1" x14ac:dyDescent="0.25">
      <c r="A1" s="202" t="s">
        <v>278</v>
      </c>
      <c r="B1" s="202"/>
      <c r="C1" s="202"/>
    </row>
    <row r="3" spans="1:3" ht="20.25" customHeight="1" x14ac:dyDescent="0.25">
      <c r="A3" s="201" t="s">
        <v>269</v>
      </c>
      <c r="B3" s="201"/>
      <c r="C3" s="201"/>
    </row>
    <row r="4" spans="1:3" x14ac:dyDescent="0.25">
      <c r="B4" s="69" t="s">
        <v>330</v>
      </c>
    </row>
    <row r="5" spans="1:3" x14ac:dyDescent="0.25">
      <c r="B5" s="69" t="s">
        <v>332</v>
      </c>
    </row>
    <row r="6" spans="1:3" x14ac:dyDescent="0.25">
      <c r="B6" s="69" t="s">
        <v>331</v>
      </c>
    </row>
    <row r="7" spans="1:3" ht="15.75" customHeight="1" x14ac:dyDescent="0.25">
      <c r="B7" s="69" t="s">
        <v>270</v>
      </c>
    </row>
    <row r="8" spans="1:3" x14ac:dyDescent="0.25">
      <c r="B8" s="69" t="s">
        <v>271</v>
      </c>
    </row>
    <row r="9" spans="1:3" ht="33" x14ac:dyDescent="0.25">
      <c r="B9" s="69" t="s">
        <v>272</v>
      </c>
    </row>
    <row r="10" spans="1:3" x14ac:dyDescent="0.25">
      <c r="B10" s="69" t="s">
        <v>273</v>
      </c>
    </row>
    <row r="12" spans="1:3" ht="20.25" customHeight="1" x14ac:dyDescent="0.25">
      <c r="A12" s="201" t="s">
        <v>173</v>
      </c>
      <c r="B12" s="201"/>
      <c r="C12" s="201"/>
    </row>
    <row r="13" spans="1:3" x14ac:dyDescent="0.25">
      <c r="B13" s="69" t="s">
        <v>348</v>
      </c>
    </row>
    <row r="14" spans="1:3" x14ac:dyDescent="0.25">
      <c r="B14" s="69" t="s">
        <v>350</v>
      </c>
    </row>
    <row r="15" spans="1:3" ht="33" x14ac:dyDescent="0.25">
      <c r="B15" s="69" t="s">
        <v>376</v>
      </c>
    </row>
    <row r="16" spans="1:3" ht="33" x14ac:dyDescent="0.25">
      <c r="B16" s="69" t="s">
        <v>378</v>
      </c>
    </row>
    <row r="17" spans="1:3" x14ac:dyDescent="0.25">
      <c r="B17" s="69" t="s">
        <v>274</v>
      </c>
    </row>
    <row r="18" spans="1:3" x14ac:dyDescent="0.25">
      <c r="B18" s="69" t="s">
        <v>351</v>
      </c>
    </row>
    <row r="19" spans="1:3" x14ac:dyDescent="0.25">
      <c r="B19" s="69" t="s">
        <v>252</v>
      </c>
    </row>
    <row r="21" spans="1:3" ht="20.25" customHeight="1" x14ac:dyDescent="0.25">
      <c r="A21" s="201" t="s">
        <v>256</v>
      </c>
      <c r="B21" s="201"/>
      <c r="C21" s="201"/>
    </row>
    <row r="22" spans="1:3" ht="33" x14ac:dyDescent="0.25">
      <c r="B22" s="69" t="s">
        <v>254</v>
      </c>
    </row>
    <row r="23" spans="1:3" ht="33" x14ac:dyDescent="0.25">
      <c r="B23" s="69" t="s">
        <v>367</v>
      </c>
    </row>
    <row r="24" spans="1:3" x14ac:dyDescent="0.25">
      <c r="B24" s="69" t="s">
        <v>154</v>
      </c>
    </row>
    <row r="25" spans="1:3" x14ac:dyDescent="0.25">
      <c r="B25" s="69" t="s">
        <v>94</v>
      </c>
    </row>
    <row r="26" spans="1:3" ht="49.5" x14ac:dyDescent="0.25">
      <c r="B26" s="69" t="s">
        <v>333</v>
      </c>
    </row>
    <row r="27" spans="1:3" x14ac:dyDescent="0.25">
      <c r="B27" s="69" t="s">
        <v>301</v>
      </c>
    </row>
    <row r="28" spans="1:3" x14ac:dyDescent="0.25">
      <c r="B28" s="69" t="s">
        <v>260</v>
      </c>
    </row>
    <row r="29" spans="1:3" x14ac:dyDescent="0.25">
      <c r="B29" s="71" t="s">
        <v>258</v>
      </c>
    </row>
    <row r="30" spans="1:3" x14ac:dyDescent="0.25">
      <c r="B30" s="71" t="s">
        <v>259</v>
      </c>
    </row>
    <row r="31" spans="1:3" x14ac:dyDescent="0.25">
      <c r="B31" s="71" t="s">
        <v>292</v>
      </c>
    </row>
    <row r="32" spans="1:3" x14ac:dyDescent="0.25">
      <c r="B32" s="71" t="s">
        <v>261</v>
      </c>
    </row>
    <row r="33" spans="1:3" x14ac:dyDescent="0.25">
      <c r="B33" s="71" t="s">
        <v>262</v>
      </c>
    </row>
    <row r="34" spans="1:3" x14ac:dyDescent="0.25">
      <c r="B34" s="71" t="s">
        <v>264</v>
      </c>
    </row>
    <row r="35" spans="1:3" x14ac:dyDescent="0.25">
      <c r="B35" s="71" t="s">
        <v>263</v>
      </c>
    </row>
    <row r="36" spans="1:3" x14ac:dyDescent="0.25">
      <c r="B36" s="69" t="s">
        <v>366</v>
      </c>
    </row>
    <row r="38" spans="1:3" ht="20.25" customHeight="1" x14ac:dyDescent="0.25">
      <c r="A38" s="201" t="s">
        <v>251</v>
      </c>
      <c r="B38" s="201"/>
      <c r="C38" s="201"/>
    </row>
    <row r="39" spans="1:3" x14ac:dyDescent="0.25">
      <c r="B39" s="69" t="s">
        <v>33</v>
      </c>
    </row>
    <row r="40" spans="1:3" x14ac:dyDescent="0.25">
      <c r="B40" s="71" t="s">
        <v>1</v>
      </c>
    </row>
    <row r="41" spans="1:3" x14ac:dyDescent="0.25">
      <c r="B41" s="71" t="s">
        <v>3</v>
      </c>
    </row>
    <row r="42" spans="1:3" x14ac:dyDescent="0.25">
      <c r="B42" s="71" t="s">
        <v>369</v>
      </c>
    </row>
    <row r="43" spans="1:3" x14ac:dyDescent="0.25">
      <c r="B43" s="71" t="s">
        <v>6</v>
      </c>
    </row>
    <row r="44" spans="1:3" x14ac:dyDescent="0.25">
      <c r="B44" s="71" t="s">
        <v>4</v>
      </c>
    </row>
    <row r="45" spans="1:3" x14ac:dyDescent="0.25">
      <c r="B45" s="71" t="s">
        <v>368</v>
      </c>
    </row>
    <row r="46" spans="1:3" x14ac:dyDescent="0.25">
      <c r="B46" s="71" t="s">
        <v>7</v>
      </c>
    </row>
    <row r="47" spans="1:3" x14ac:dyDescent="0.25">
      <c r="B47" s="69" t="s">
        <v>352</v>
      </c>
    </row>
    <row r="48" spans="1:3" x14ac:dyDescent="0.25">
      <c r="B48" s="69" t="s">
        <v>353</v>
      </c>
    </row>
    <row r="49" spans="1:3" ht="16.5" customHeight="1" x14ac:dyDescent="0.25">
      <c r="B49" s="69" t="s">
        <v>363</v>
      </c>
    </row>
    <row r="50" spans="1:3" x14ac:dyDescent="0.25">
      <c r="B50" s="69" t="s">
        <v>365</v>
      </c>
    </row>
    <row r="51" spans="1:3" ht="15.75" customHeight="1" x14ac:dyDescent="0.25">
      <c r="B51" s="69" t="s">
        <v>349</v>
      </c>
    </row>
    <row r="52" spans="1:3" ht="33" x14ac:dyDescent="0.25">
      <c r="B52" s="69" t="s">
        <v>257</v>
      </c>
    </row>
    <row r="53" spans="1:3" x14ac:dyDescent="0.25">
      <c r="B53" s="69" t="s">
        <v>296</v>
      </c>
    </row>
    <row r="54" spans="1:3" x14ac:dyDescent="0.25">
      <c r="B54" s="69" t="s">
        <v>279</v>
      </c>
    </row>
    <row r="55" spans="1:3" x14ac:dyDescent="0.25">
      <c r="B55" s="69" t="s">
        <v>334</v>
      </c>
    </row>
    <row r="56" spans="1:3" x14ac:dyDescent="0.25">
      <c r="B56" s="69" t="s">
        <v>300</v>
      </c>
    </row>
    <row r="57" spans="1:3" ht="33" x14ac:dyDescent="0.25">
      <c r="B57" s="69" t="s">
        <v>304</v>
      </c>
    </row>
    <row r="58" spans="1:3" ht="33" x14ac:dyDescent="0.25">
      <c r="B58" s="69" t="s">
        <v>305</v>
      </c>
    </row>
    <row r="60" spans="1:3" ht="20.25" customHeight="1" x14ac:dyDescent="0.25">
      <c r="A60" s="201" t="s">
        <v>253</v>
      </c>
      <c r="B60" s="201"/>
      <c r="C60" s="201"/>
    </row>
    <row r="61" spans="1:3" x14ac:dyDescent="0.25">
      <c r="B61" s="69" t="s">
        <v>340</v>
      </c>
    </row>
    <row r="62" spans="1:3" ht="33" x14ac:dyDescent="0.25">
      <c r="B62" s="69" t="s">
        <v>364</v>
      </c>
    </row>
    <row r="63" spans="1:3" x14ac:dyDescent="0.25">
      <c r="B63" s="69" t="s">
        <v>341</v>
      </c>
    </row>
    <row r="64" spans="1:3" x14ac:dyDescent="0.25">
      <c r="B64" s="69" t="s">
        <v>370</v>
      </c>
    </row>
    <row r="65" spans="1:3" x14ac:dyDescent="0.25">
      <c r="B65" s="69" t="s">
        <v>293</v>
      </c>
    </row>
    <row r="66" spans="1:3" ht="49.5" x14ac:dyDescent="0.25">
      <c r="B66" s="69" t="s">
        <v>372</v>
      </c>
    </row>
    <row r="67" spans="1:3" x14ac:dyDescent="0.25">
      <c r="B67" s="69" t="s">
        <v>58</v>
      </c>
    </row>
    <row r="68" spans="1:3" x14ac:dyDescent="0.25">
      <c r="B68" s="69" t="s">
        <v>371</v>
      </c>
    </row>
    <row r="69" spans="1:3" ht="33" x14ac:dyDescent="0.25">
      <c r="B69" s="69" t="s">
        <v>342</v>
      </c>
    </row>
    <row r="70" spans="1:3" x14ac:dyDescent="0.25">
      <c r="B70" s="69" t="s">
        <v>343</v>
      </c>
    </row>
    <row r="71" spans="1:3" x14ac:dyDescent="0.25">
      <c r="B71" s="69" t="s">
        <v>344</v>
      </c>
    </row>
    <row r="72" spans="1:3" x14ac:dyDescent="0.25">
      <c r="B72" s="69" t="s">
        <v>345</v>
      </c>
    </row>
    <row r="73" spans="1:3" x14ac:dyDescent="0.25">
      <c r="B73" s="69" t="s">
        <v>346</v>
      </c>
    </row>
    <row r="75" spans="1:3" ht="20.25" customHeight="1" x14ac:dyDescent="0.25">
      <c r="A75" s="201" t="s">
        <v>285</v>
      </c>
      <c r="B75" s="201"/>
      <c r="C75" s="201"/>
    </row>
    <row r="76" spans="1:3" x14ac:dyDescent="0.25">
      <c r="B76" s="69" t="s">
        <v>286</v>
      </c>
    </row>
    <row r="77" spans="1:3" x14ac:dyDescent="0.25">
      <c r="B77" s="69" t="s">
        <v>287</v>
      </c>
    </row>
    <row r="78" spans="1:3" x14ac:dyDescent="0.25">
      <c r="B78" s="71" t="s">
        <v>373</v>
      </c>
    </row>
    <row r="79" spans="1:3" x14ac:dyDescent="0.25">
      <c r="B79" s="71" t="s">
        <v>374</v>
      </c>
    </row>
    <row r="80" spans="1:3" ht="46.5" customHeight="1" x14ac:dyDescent="0.25">
      <c r="B80" s="71" t="s">
        <v>375</v>
      </c>
    </row>
    <row r="81" spans="2:2" x14ac:dyDescent="0.25">
      <c r="B81" s="71" t="s">
        <v>347</v>
      </c>
    </row>
    <row r="82" spans="2:2" x14ac:dyDescent="0.25">
      <c r="B82" s="71" t="s">
        <v>379</v>
      </c>
    </row>
    <row r="83" spans="2:2" x14ac:dyDescent="0.25">
      <c r="B83" s="71" t="s">
        <v>276</v>
      </c>
    </row>
    <row r="84" spans="2:2" x14ac:dyDescent="0.25">
      <c r="B84" s="71" t="s">
        <v>282</v>
      </c>
    </row>
    <row r="85" spans="2:2" x14ac:dyDescent="0.25">
      <c r="B85" s="71" t="s">
        <v>283</v>
      </c>
    </row>
    <row r="86" spans="2:2" x14ac:dyDescent="0.25">
      <c r="B86" s="71" t="s">
        <v>377</v>
      </c>
    </row>
    <row r="87" spans="2:2" x14ac:dyDescent="0.25">
      <c r="B87" s="71" t="s">
        <v>275</v>
      </c>
    </row>
    <row r="88" spans="2:2" x14ac:dyDescent="0.25">
      <c r="B88" s="69" t="s">
        <v>339</v>
      </c>
    </row>
    <row r="89" spans="2:2" x14ac:dyDescent="0.25">
      <c r="B89" s="71" t="s">
        <v>39</v>
      </c>
    </row>
    <row r="90" spans="2:2" x14ac:dyDescent="0.25">
      <c r="B90" s="71" t="s">
        <v>250</v>
      </c>
    </row>
    <row r="91" spans="2:2" x14ac:dyDescent="0.25">
      <c r="B91" s="71" t="s">
        <v>267</v>
      </c>
    </row>
    <row r="92" spans="2:2" x14ac:dyDescent="0.25">
      <c r="B92" s="71" t="s">
        <v>268</v>
      </c>
    </row>
    <row r="93" spans="2:2" x14ac:dyDescent="0.25">
      <c r="B93" s="71" t="s">
        <v>266</v>
      </c>
    </row>
    <row r="94" spans="2:2" x14ac:dyDescent="0.25">
      <c r="B94" s="71" t="s">
        <v>380</v>
      </c>
    </row>
    <row r="95" spans="2:2" x14ac:dyDescent="0.25">
      <c r="B95" s="71" t="s">
        <v>277</v>
      </c>
    </row>
    <row r="96" spans="2:2" x14ac:dyDescent="0.25">
      <c r="B96" s="69" t="s">
        <v>35</v>
      </c>
    </row>
    <row r="97" spans="1:3" ht="19.5" customHeight="1" x14ac:dyDescent="0.25">
      <c r="B97" s="71" t="s">
        <v>356</v>
      </c>
    </row>
    <row r="98" spans="1:3" x14ac:dyDescent="0.25">
      <c r="B98" s="71" t="s">
        <v>295</v>
      </c>
    </row>
    <row r="99" spans="1:3" x14ac:dyDescent="0.25">
      <c r="B99" s="71" t="s">
        <v>294</v>
      </c>
    </row>
    <row r="100" spans="1:3" x14ac:dyDescent="0.25">
      <c r="B100" s="69" t="s">
        <v>37</v>
      </c>
    </row>
    <row r="101" spans="1:3" x14ac:dyDescent="0.25">
      <c r="B101" s="71" t="s">
        <v>303</v>
      </c>
    </row>
    <row r="102" spans="1:3" x14ac:dyDescent="0.25">
      <c r="B102" s="71" t="s">
        <v>357</v>
      </c>
    </row>
    <row r="103" spans="1:3" ht="49.5" x14ac:dyDescent="0.25">
      <c r="B103" s="71" t="s">
        <v>362</v>
      </c>
    </row>
    <row r="104" spans="1:3" x14ac:dyDescent="0.25">
      <c r="B104" s="69" t="s">
        <v>299</v>
      </c>
    </row>
    <row r="105" spans="1:3" ht="32.25" customHeight="1" x14ac:dyDescent="0.25">
      <c r="B105" s="70" t="s">
        <v>358</v>
      </c>
    </row>
    <row r="106" spans="1:3" ht="33" x14ac:dyDescent="0.25">
      <c r="B106" s="70" t="s">
        <v>359</v>
      </c>
    </row>
    <row r="107" spans="1:3" x14ac:dyDescent="0.25">
      <c r="B107" s="69" t="s">
        <v>335</v>
      </c>
    </row>
    <row r="109" spans="1:3" ht="20.25" customHeight="1" x14ac:dyDescent="0.25">
      <c r="A109" s="201" t="s">
        <v>284</v>
      </c>
      <c r="B109" s="201"/>
      <c r="C109" s="201"/>
    </row>
    <row r="110" spans="1:3" x14ac:dyDescent="0.25">
      <c r="B110" s="69" t="s">
        <v>289</v>
      </c>
    </row>
    <row r="111" spans="1:3" x14ac:dyDescent="0.25">
      <c r="B111" s="69" t="s">
        <v>290</v>
      </c>
    </row>
    <row r="112" spans="1:3" x14ac:dyDescent="0.25">
      <c r="B112" s="69" t="s">
        <v>219</v>
      </c>
    </row>
    <row r="113" spans="1:3" x14ac:dyDescent="0.25">
      <c r="B113" s="69" t="s">
        <v>255</v>
      </c>
    </row>
    <row r="114" spans="1:3" x14ac:dyDescent="0.25">
      <c r="B114" s="69" t="s">
        <v>265</v>
      </c>
    </row>
    <row r="115" spans="1:3" x14ac:dyDescent="0.25">
      <c r="B115" s="69" t="s">
        <v>291</v>
      </c>
    </row>
    <row r="116" spans="1:3" x14ac:dyDescent="0.25">
      <c r="B116" s="69" t="s">
        <v>288</v>
      </c>
    </row>
    <row r="117" spans="1:3" x14ac:dyDescent="0.25">
      <c r="B117" s="69" t="s">
        <v>337</v>
      </c>
    </row>
    <row r="118" spans="1:3" x14ac:dyDescent="0.25">
      <c r="B118" s="69" t="s">
        <v>338</v>
      </c>
    </row>
    <row r="119" spans="1:3" x14ac:dyDescent="0.25">
      <c r="B119" s="69" t="s">
        <v>297</v>
      </c>
    </row>
    <row r="120" spans="1:3" x14ac:dyDescent="0.25">
      <c r="B120" s="69" t="s">
        <v>298</v>
      </c>
    </row>
    <row r="121" spans="1:3" x14ac:dyDescent="0.25">
      <c r="B121" s="69" t="s">
        <v>336</v>
      </c>
    </row>
    <row r="122" spans="1:3" x14ac:dyDescent="0.25">
      <c r="B122" s="69" t="s">
        <v>354</v>
      </c>
    </row>
    <row r="123" spans="1:3" x14ac:dyDescent="0.25">
      <c r="B123" s="69" t="s">
        <v>355</v>
      </c>
    </row>
    <row r="124" spans="1:3" x14ac:dyDescent="0.25">
      <c r="B124" s="69" t="s">
        <v>335</v>
      </c>
    </row>
    <row r="126" spans="1:3" ht="20.25" customHeight="1" x14ac:dyDescent="0.25">
      <c r="A126" s="201" t="s">
        <v>302</v>
      </c>
      <c r="B126" s="201"/>
      <c r="C126" s="201"/>
    </row>
    <row r="127" spans="1:3" x14ac:dyDescent="0.25">
      <c r="B127" s="73" t="s">
        <v>247</v>
      </c>
    </row>
    <row r="128" spans="1:3" x14ac:dyDescent="0.25">
      <c r="B128" s="71" t="s">
        <v>318</v>
      </c>
    </row>
    <row r="129" spans="2:2" x14ac:dyDescent="0.25">
      <c r="B129" s="71" t="s">
        <v>319</v>
      </c>
    </row>
    <row r="130" spans="2:2" x14ac:dyDescent="0.25">
      <c r="B130" s="71" t="s">
        <v>320</v>
      </c>
    </row>
    <row r="131" spans="2:2" ht="33" x14ac:dyDescent="0.25">
      <c r="B131" s="71" t="s">
        <v>321</v>
      </c>
    </row>
    <row r="132" spans="2:2" ht="33" x14ac:dyDescent="0.25">
      <c r="B132" s="71" t="s">
        <v>322</v>
      </c>
    </row>
    <row r="133" spans="2:2" x14ac:dyDescent="0.25">
      <c r="B133" s="71" t="s">
        <v>323</v>
      </c>
    </row>
    <row r="135" spans="2:2" x14ac:dyDescent="0.25">
      <c r="B135" s="73" t="s">
        <v>329</v>
      </c>
    </row>
    <row r="136" spans="2:2" ht="33" x14ac:dyDescent="0.25">
      <c r="B136" s="71" t="s">
        <v>307</v>
      </c>
    </row>
    <row r="137" spans="2:2" ht="33" x14ac:dyDescent="0.25">
      <c r="B137" s="71" t="s">
        <v>306</v>
      </c>
    </row>
    <row r="138" spans="2:2" ht="33.75" customHeight="1" x14ac:dyDescent="0.25">
      <c r="B138" s="71" t="s">
        <v>308</v>
      </c>
    </row>
    <row r="139" spans="2:2" ht="33" x14ac:dyDescent="0.25">
      <c r="B139" s="71" t="s">
        <v>309</v>
      </c>
    </row>
    <row r="140" spans="2:2" ht="33" x14ac:dyDescent="0.25">
      <c r="B140" s="71" t="s">
        <v>310</v>
      </c>
    </row>
    <row r="141" spans="2:2" x14ac:dyDescent="0.25">
      <c r="B141" s="71" t="s">
        <v>312</v>
      </c>
    </row>
    <row r="142" spans="2:2" ht="33" x14ac:dyDescent="0.25">
      <c r="B142" s="71" t="s">
        <v>311</v>
      </c>
    </row>
    <row r="143" spans="2:2" x14ac:dyDescent="0.25">
      <c r="B143" s="71" t="s">
        <v>313</v>
      </c>
    </row>
    <row r="144" spans="2:2" ht="33" x14ac:dyDescent="0.25">
      <c r="B144" s="71" t="s">
        <v>316</v>
      </c>
    </row>
    <row r="145" spans="2:2" ht="33" x14ac:dyDescent="0.25">
      <c r="B145" s="71" t="s">
        <v>315</v>
      </c>
    </row>
    <row r="146" spans="2:2" ht="33" x14ac:dyDescent="0.25">
      <c r="B146" s="71" t="s">
        <v>314</v>
      </c>
    </row>
    <row r="147" spans="2:2" x14ac:dyDescent="0.25">
      <c r="B147" s="71" t="s">
        <v>237</v>
      </c>
    </row>
    <row r="148" spans="2:2" x14ac:dyDescent="0.25">
      <c r="B148" s="72" t="s">
        <v>227</v>
      </c>
    </row>
    <row r="149" spans="2:2" x14ac:dyDescent="0.25">
      <c r="B149" s="72" t="s">
        <v>228</v>
      </c>
    </row>
    <row r="150" spans="2:2" ht="49.5" x14ac:dyDescent="0.25">
      <c r="B150" s="72" t="s">
        <v>239</v>
      </c>
    </row>
    <row r="151" spans="2:2" x14ac:dyDescent="0.25">
      <c r="B151" s="72" t="s">
        <v>229</v>
      </c>
    </row>
    <row r="152" spans="2:2" x14ac:dyDescent="0.25">
      <c r="B152" s="72" t="s">
        <v>230</v>
      </c>
    </row>
    <row r="153" spans="2:2" x14ac:dyDescent="0.25">
      <c r="B153" s="72" t="s">
        <v>231</v>
      </c>
    </row>
    <row r="154" spans="2:2" x14ac:dyDescent="0.25">
      <c r="B154" s="72" t="s">
        <v>232</v>
      </c>
    </row>
    <row r="155" spans="2:2" x14ac:dyDescent="0.25">
      <c r="B155" s="72" t="s">
        <v>233</v>
      </c>
    </row>
    <row r="156" spans="2:2" x14ac:dyDescent="0.25">
      <c r="B156" s="72" t="s">
        <v>234</v>
      </c>
    </row>
    <row r="157" spans="2:2" x14ac:dyDescent="0.25">
      <c r="B157" s="72" t="s">
        <v>235</v>
      </c>
    </row>
    <row r="158" spans="2:2" ht="18" customHeight="1" x14ac:dyDescent="0.25">
      <c r="B158" s="71" t="s">
        <v>238</v>
      </c>
    </row>
    <row r="159" spans="2:2" x14ac:dyDescent="0.25">
      <c r="B159" s="72" t="s">
        <v>317</v>
      </c>
    </row>
    <row r="160" spans="2:2" x14ac:dyDescent="0.25">
      <c r="B160" s="72" t="s">
        <v>236</v>
      </c>
    </row>
    <row r="161" spans="2:2" x14ac:dyDescent="0.25">
      <c r="B161" s="72" t="s">
        <v>226</v>
      </c>
    </row>
    <row r="163" spans="2:2" x14ac:dyDescent="0.25">
      <c r="B163" s="73" t="s">
        <v>326</v>
      </c>
    </row>
    <row r="164" spans="2:2" x14ac:dyDescent="0.25">
      <c r="B164" s="71" t="s">
        <v>324</v>
      </c>
    </row>
    <row r="165" spans="2:2" x14ac:dyDescent="0.25">
      <c r="B165" s="71" t="s">
        <v>325</v>
      </c>
    </row>
    <row r="166" spans="2:2" x14ac:dyDescent="0.25">
      <c r="B166" s="71" t="s">
        <v>361</v>
      </c>
    </row>
    <row r="167" spans="2:2" x14ac:dyDescent="0.25">
      <c r="B167" s="71" t="s">
        <v>327</v>
      </c>
    </row>
    <row r="168" spans="2:2" x14ac:dyDescent="0.25">
      <c r="B168" s="71" t="s">
        <v>328</v>
      </c>
    </row>
    <row r="169" spans="2:2" x14ac:dyDescent="0.25">
      <c r="B169" s="71" t="s">
        <v>360</v>
      </c>
    </row>
  </sheetData>
  <mergeCells count="9">
    <mergeCell ref="A75:C75"/>
    <mergeCell ref="A109:C109"/>
    <mergeCell ref="A126:C126"/>
    <mergeCell ref="A1:C1"/>
    <mergeCell ref="A3:C3"/>
    <mergeCell ref="A12:C12"/>
    <mergeCell ref="A21:C21"/>
    <mergeCell ref="A38:C38"/>
    <mergeCell ref="A60:C60"/>
  </mergeCells>
  <pageMargins left="0.51181102362204722" right="0.11811023622047245" top="0.35433070866141736" bottom="0.35433070866141736" header="0.31496062992125984" footer="0.31496062992125984"/>
  <pageSetup paperSize="9" scale="90" orientation="portrait" r:id="rId1"/>
  <rowBreaks count="2" manualBreakCount="2">
    <brk id="88" max="2" man="1"/>
    <brk id="133"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362D-1EB2-45C8-829A-8DC2A38E1B49}">
  <sheetPr>
    <tabColor rgb="FFFFFF00"/>
  </sheetPr>
  <dimension ref="A1:K221"/>
  <sheetViews>
    <sheetView view="pageBreakPreview" zoomScale="85" zoomScaleNormal="85" zoomScaleSheetLayoutView="85" workbookViewId="0">
      <pane ySplit="3" topLeftCell="A78" activePane="bottomLeft" state="frozen"/>
      <selection pane="bottomLeft" activeCell="C89" sqref="C89:D89"/>
    </sheetView>
  </sheetViews>
  <sheetFormatPr defaultRowHeight="15.75" x14ac:dyDescent="0.25"/>
  <cols>
    <col min="1" max="1" width="5.140625" style="9" customWidth="1"/>
    <col min="2" max="2" width="97.85546875" style="7" customWidth="1"/>
    <col min="3" max="3" width="22.7109375" style="39" customWidth="1"/>
    <col min="4" max="4" width="16.7109375" style="39" customWidth="1"/>
    <col min="5" max="5" width="14.5703125" style="95" customWidth="1"/>
    <col min="6" max="6" width="25.7109375" style="42" customWidth="1"/>
    <col min="7" max="34" width="16.42578125" style="7" customWidth="1"/>
    <col min="35" max="16384" width="9.140625" style="7"/>
  </cols>
  <sheetData>
    <row r="1" spans="1:6" s="3" customFormat="1" ht="30" customHeight="1" x14ac:dyDescent="0.25">
      <c r="A1" s="197" t="s">
        <v>638</v>
      </c>
      <c r="B1" s="197"/>
      <c r="C1" s="197"/>
      <c r="D1" s="197"/>
      <c r="E1" s="197"/>
      <c r="F1" s="213"/>
    </row>
    <row r="2" spans="1:6" s="1" customFormat="1" ht="7.5" customHeight="1" x14ac:dyDescent="0.25">
      <c r="A2" s="8"/>
      <c r="B2" s="2"/>
      <c r="C2" s="39"/>
      <c r="D2" s="39"/>
      <c r="E2" s="93"/>
      <c r="F2" s="39"/>
    </row>
    <row r="3" spans="1:6" s="3" customFormat="1" ht="39" customHeight="1" x14ac:dyDescent="0.25">
      <c r="A3" s="115" t="s">
        <v>11</v>
      </c>
      <c r="B3" s="116" t="s">
        <v>74</v>
      </c>
      <c r="C3" s="115" t="s">
        <v>126</v>
      </c>
      <c r="D3" s="115" t="s">
        <v>131</v>
      </c>
      <c r="E3" s="115" t="s">
        <v>132</v>
      </c>
      <c r="F3" s="132" t="s">
        <v>413</v>
      </c>
    </row>
    <row r="4" spans="1:6" ht="6.75" customHeight="1" x14ac:dyDescent="0.25">
      <c r="C4" s="1"/>
      <c r="D4" s="1"/>
      <c r="E4" s="94"/>
      <c r="F4" s="7"/>
    </row>
    <row r="5" spans="1:6" s="15" customFormat="1" ht="21.75" customHeight="1" x14ac:dyDescent="0.25">
      <c r="A5" s="28">
        <v>0</v>
      </c>
      <c r="B5" s="13" t="s">
        <v>269</v>
      </c>
      <c r="C5" s="44"/>
      <c r="D5" s="44"/>
      <c r="E5" s="44"/>
      <c r="F5" s="133"/>
    </row>
    <row r="6" spans="1:6" s="11" customFormat="1" ht="21.75" customHeight="1" x14ac:dyDescent="0.25">
      <c r="A6" s="34"/>
      <c r="B6" s="65" t="s">
        <v>730</v>
      </c>
      <c r="C6" s="47" t="s">
        <v>129</v>
      </c>
      <c r="D6" s="114" t="s">
        <v>129</v>
      </c>
      <c r="E6" s="114" t="s">
        <v>129</v>
      </c>
      <c r="F6" s="25" t="s">
        <v>129</v>
      </c>
    </row>
    <row r="7" spans="1:6" s="11" customFormat="1" ht="21.75" customHeight="1" x14ac:dyDescent="0.25">
      <c r="A7" s="34"/>
      <c r="B7" s="65" t="s">
        <v>845</v>
      </c>
      <c r="C7" s="47" t="s">
        <v>129</v>
      </c>
      <c r="D7" s="114" t="s">
        <v>129</v>
      </c>
      <c r="E7" s="114" t="s">
        <v>129</v>
      </c>
      <c r="F7" s="25" t="s">
        <v>129</v>
      </c>
    </row>
    <row r="8" spans="1:6" s="11" customFormat="1" ht="21.75" customHeight="1" x14ac:dyDescent="0.25">
      <c r="A8" s="34"/>
      <c r="B8" s="65" t="s">
        <v>846</v>
      </c>
      <c r="C8" s="47"/>
      <c r="D8" s="114"/>
      <c r="E8" s="114"/>
      <c r="F8" s="25"/>
    </row>
    <row r="9" spans="1:6" s="11" customFormat="1" ht="21.75" customHeight="1" x14ac:dyDescent="0.25">
      <c r="A9" s="34"/>
      <c r="B9" s="65" t="s">
        <v>847</v>
      </c>
      <c r="C9" s="47"/>
      <c r="D9" s="114"/>
      <c r="E9" s="114"/>
      <c r="F9" s="25"/>
    </row>
    <row r="10" spans="1:6" s="11" customFormat="1" ht="21.75" customHeight="1" x14ac:dyDescent="0.25">
      <c r="A10" s="34"/>
      <c r="B10" s="65" t="s">
        <v>437</v>
      </c>
      <c r="C10" s="47"/>
      <c r="D10" s="114"/>
      <c r="E10" s="114"/>
      <c r="F10" s="25"/>
    </row>
    <row r="11" spans="1:6" s="11" customFormat="1" ht="21.75" customHeight="1" x14ac:dyDescent="0.25">
      <c r="A11" s="34"/>
      <c r="B11" s="65" t="s">
        <v>848</v>
      </c>
      <c r="C11" s="47"/>
      <c r="D11" s="114"/>
      <c r="E11" s="114"/>
      <c r="F11" s="25"/>
    </row>
    <row r="12" spans="1:6" s="11" customFormat="1" ht="21.75" customHeight="1" x14ac:dyDescent="0.25">
      <c r="A12" s="34"/>
      <c r="B12" s="65" t="s">
        <v>849</v>
      </c>
      <c r="C12" s="47"/>
      <c r="D12" s="114"/>
      <c r="E12" s="114"/>
      <c r="F12" s="25"/>
    </row>
    <row r="13" spans="1:6" s="11" customFormat="1" ht="21.75" customHeight="1" x14ac:dyDescent="0.25">
      <c r="A13" s="34"/>
      <c r="B13" s="65" t="s">
        <v>850</v>
      </c>
      <c r="C13" s="47"/>
      <c r="D13" s="114"/>
      <c r="E13" s="114"/>
      <c r="F13" s="25"/>
    </row>
    <row r="14" spans="1:6" s="11" customFormat="1" ht="21.75" customHeight="1" x14ac:dyDescent="0.25">
      <c r="A14" s="34"/>
      <c r="B14" s="65" t="s">
        <v>731</v>
      </c>
      <c r="C14" s="47"/>
      <c r="D14" s="114"/>
      <c r="E14" s="114"/>
      <c r="F14" s="25"/>
    </row>
    <row r="15" spans="1:6" s="11" customFormat="1" ht="21.75" customHeight="1" x14ac:dyDescent="0.25">
      <c r="A15" s="34"/>
      <c r="B15" s="65" t="s">
        <v>851</v>
      </c>
      <c r="C15" s="47"/>
      <c r="D15" s="114"/>
      <c r="E15" s="114"/>
      <c r="F15" s="25"/>
    </row>
    <row r="16" spans="1:6" s="11" customFormat="1" ht="21.75" customHeight="1" x14ac:dyDescent="0.25">
      <c r="A16" s="34"/>
      <c r="B16" s="65" t="s">
        <v>852</v>
      </c>
      <c r="C16" s="47"/>
      <c r="D16" s="114"/>
      <c r="E16" s="114"/>
      <c r="F16" s="25"/>
    </row>
    <row r="17" spans="1:11" s="11" customFormat="1" ht="33.75" customHeight="1" x14ac:dyDescent="0.25">
      <c r="A17" s="34"/>
      <c r="B17" s="65" t="s">
        <v>853</v>
      </c>
      <c r="C17" s="47"/>
      <c r="D17" s="114"/>
      <c r="E17" s="114"/>
      <c r="F17" s="25"/>
    </row>
    <row r="18" spans="1:11" s="11" customFormat="1" ht="21.75" customHeight="1" x14ac:dyDescent="0.25">
      <c r="A18" s="34"/>
      <c r="B18" s="65" t="s">
        <v>854</v>
      </c>
      <c r="C18" s="47" t="s">
        <v>129</v>
      </c>
      <c r="D18" s="114" t="s">
        <v>129</v>
      </c>
      <c r="E18" s="114" t="s">
        <v>129</v>
      </c>
      <c r="F18" s="25" t="s">
        <v>129</v>
      </c>
    </row>
    <row r="19" spans="1:11" s="11" customFormat="1" ht="21.75" customHeight="1" x14ac:dyDescent="0.25">
      <c r="A19" s="34"/>
      <c r="B19" s="65" t="s">
        <v>855</v>
      </c>
      <c r="C19" s="47" t="s">
        <v>129</v>
      </c>
      <c r="D19" s="114" t="s">
        <v>129</v>
      </c>
      <c r="E19" s="114" t="s">
        <v>129</v>
      </c>
      <c r="F19" s="25" t="s">
        <v>129</v>
      </c>
    </row>
    <row r="20" spans="1:11" ht="21" customHeight="1" x14ac:dyDescent="0.25">
      <c r="A20" s="17"/>
      <c r="B20" s="68" t="s">
        <v>856</v>
      </c>
      <c r="C20" s="47" t="s">
        <v>129</v>
      </c>
      <c r="D20" s="114" t="s">
        <v>129</v>
      </c>
      <c r="E20" s="114" t="s">
        <v>129</v>
      </c>
      <c r="F20" s="25" t="s">
        <v>129</v>
      </c>
    </row>
    <row r="21" spans="1:11" s="15" customFormat="1" ht="21.75" customHeight="1" x14ac:dyDescent="0.25">
      <c r="A21" s="28">
        <v>1</v>
      </c>
      <c r="B21" s="13" t="s">
        <v>690</v>
      </c>
      <c r="C21" s="44"/>
      <c r="D21" s="44"/>
      <c r="E21" s="44"/>
      <c r="F21" s="133" t="s">
        <v>137</v>
      </c>
    </row>
    <row r="22" spans="1:11" s="11" customFormat="1" ht="21.75" customHeight="1" x14ac:dyDescent="0.25">
      <c r="A22" s="16" t="s">
        <v>34</v>
      </c>
      <c r="B22" s="6" t="s">
        <v>173</v>
      </c>
      <c r="C22" s="45"/>
      <c r="D22" s="45"/>
      <c r="E22" s="6"/>
      <c r="F22" s="6"/>
    </row>
    <row r="23" spans="1:11" s="11" customFormat="1" ht="21.75" customHeight="1" x14ac:dyDescent="0.25">
      <c r="A23" s="34"/>
      <c r="B23" s="10" t="s">
        <v>857</v>
      </c>
      <c r="C23" s="47" t="s">
        <v>129</v>
      </c>
      <c r="D23" s="114"/>
      <c r="E23" s="131"/>
      <c r="F23" s="64"/>
      <c r="K23" s="143"/>
    </row>
    <row r="24" spans="1:11" s="11" customFormat="1" ht="21.75" customHeight="1" x14ac:dyDescent="0.25">
      <c r="A24" s="34"/>
      <c r="B24" s="10" t="s">
        <v>642</v>
      </c>
      <c r="C24" s="47" t="s">
        <v>129</v>
      </c>
      <c r="D24" s="114"/>
      <c r="E24" s="131"/>
      <c r="F24" s="64"/>
      <c r="K24" s="143"/>
    </row>
    <row r="25" spans="1:11" ht="21" customHeight="1" x14ac:dyDescent="0.25">
      <c r="A25" s="17"/>
      <c r="B25" s="68" t="s">
        <v>460</v>
      </c>
      <c r="C25" s="47" t="s">
        <v>127</v>
      </c>
      <c r="D25" s="200" t="s">
        <v>129</v>
      </c>
      <c r="E25" s="200" t="s">
        <v>129</v>
      </c>
      <c r="F25" s="214" t="s">
        <v>129</v>
      </c>
      <c r="K25" s="143"/>
    </row>
    <row r="26" spans="1:11" ht="21" customHeight="1" x14ac:dyDescent="0.25">
      <c r="A26" s="34"/>
      <c r="B26" s="38" t="s">
        <v>688</v>
      </c>
      <c r="C26" s="47" t="s">
        <v>128</v>
      </c>
      <c r="D26" s="200"/>
      <c r="E26" s="200"/>
      <c r="F26" s="214"/>
    </row>
    <row r="27" spans="1:11" s="11" customFormat="1" ht="21.75" customHeight="1" x14ac:dyDescent="0.25">
      <c r="A27" s="16" t="s">
        <v>34</v>
      </c>
      <c r="B27" s="6" t="s">
        <v>189</v>
      </c>
      <c r="C27" s="45"/>
      <c r="D27" s="45"/>
      <c r="E27" s="6"/>
      <c r="F27" s="6"/>
    </row>
    <row r="28" spans="1:11" ht="21.75" customHeight="1" x14ac:dyDescent="0.25">
      <c r="A28" s="17"/>
      <c r="B28" s="29" t="s">
        <v>689</v>
      </c>
      <c r="C28" s="47" t="s">
        <v>129</v>
      </c>
      <c r="D28" s="47" t="s">
        <v>129</v>
      </c>
      <c r="E28" s="47" t="s">
        <v>129</v>
      </c>
      <c r="F28" s="60" t="s">
        <v>129</v>
      </c>
    </row>
    <row r="29" spans="1:11" ht="21.75" customHeight="1" x14ac:dyDescent="0.25">
      <c r="A29" s="17"/>
      <c r="B29" s="29" t="s">
        <v>698</v>
      </c>
      <c r="C29" s="47" t="s">
        <v>129</v>
      </c>
      <c r="D29" s="47" t="s">
        <v>129</v>
      </c>
      <c r="E29" s="47" t="s">
        <v>129</v>
      </c>
      <c r="F29" s="60" t="s">
        <v>129</v>
      </c>
    </row>
    <row r="30" spans="1:11" ht="21.75" customHeight="1" x14ac:dyDescent="0.25">
      <c r="A30" s="17"/>
      <c r="B30" s="29" t="s">
        <v>691</v>
      </c>
      <c r="C30" s="47" t="s">
        <v>129</v>
      </c>
      <c r="D30" s="47" t="s">
        <v>129</v>
      </c>
      <c r="E30" s="47" t="s">
        <v>129</v>
      </c>
      <c r="F30" s="60" t="s">
        <v>129</v>
      </c>
    </row>
    <row r="31" spans="1:11" ht="21.75" customHeight="1" x14ac:dyDescent="0.25">
      <c r="A31" s="17"/>
      <c r="B31" s="29" t="s">
        <v>692</v>
      </c>
      <c r="C31" s="47" t="s">
        <v>129</v>
      </c>
      <c r="D31" s="47" t="s">
        <v>129</v>
      </c>
      <c r="E31" s="47" t="s">
        <v>129</v>
      </c>
      <c r="F31" s="60" t="s">
        <v>129</v>
      </c>
    </row>
    <row r="32" spans="1:11" ht="21.75" customHeight="1" x14ac:dyDescent="0.25">
      <c r="A32" s="17"/>
      <c r="B32" s="97" t="s">
        <v>693</v>
      </c>
      <c r="C32" s="47" t="s">
        <v>129</v>
      </c>
      <c r="D32" s="47" t="s">
        <v>129</v>
      </c>
      <c r="E32" s="47" t="s">
        <v>129</v>
      </c>
      <c r="F32" s="60" t="s">
        <v>129</v>
      </c>
    </row>
    <row r="33" spans="1:6" s="15" customFormat="1" ht="21.75" customHeight="1" x14ac:dyDescent="0.25">
      <c r="A33" s="28">
        <v>2</v>
      </c>
      <c r="B33" s="13" t="s">
        <v>454</v>
      </c>
      <c r="C33" s="44"/>
      <c r="D33" s="44"/>
      <c r="E33" s="44"/>
      <c r="F33" s="133" t="s">
        <v>138</v>
      </c>
    </row>
    <row r="34" spans="1:6" s="11" customFormat="1" ht="21.75" customHeight="1" x14ac:dyDescent="0.25">
      <c r="A34" s="16" t="s">
        <v>34</v>
      </c>
      <c r="B34" s="6" t="s">
        <v>790</v>
      </c>
      <c r="C34" s="45"/>
      <c r="D34" s="45"/>
      <c r="E34" s="6"/>
      <c r="F34" s="6"/>
    </row>
    <row r="35" spans="1:6" ht="21.75" customHeight="1" x14ac:dyDescent="0.25">
      <c r="A35" s="17"/>
      <c r="B35" s="29" t="s">
        <v>474</v>
      </c>
      <c r="C35" s="47" t="s">
        <v>129</v>
      </c>
      <c r="D35" s="47" t="s">
        <v>129</v>
      </c>
      <c r="E35" s="47" t="s">
        <v>129</v>
      </c>
      <c r="F35" s="60" t="s">
        <v>129</v>
      </c>
    </row>
    <row r="36" spans="1:6" ht="21.75" customHeight="1" x14ac:dyDescent="0.25">
      <c r="A36" s="34"/>
      <c r="B36" s="5" t="s">
        <v>792</v>
      </c>
      <c r="C36" s="47" t="s">
        <v>129</v>
      </c>
      <c r="D36" s="47" t="s">
        <v>129</v>
      </c>
      <c r="E36" s="47" t="s">
        <v>129</v>
      </c>
      <c r="F36" s="60" t="s">
        <v>129</v>
      </c>
    </row>
    <row r="37" spans="1:6" s="11" customFormat="1" ht="21.75" customHeight="1" x14ac:dyDescent="0.25">
      <c r="A37" s="34"/>
      <c r="B37" s="10" t="s">
        <v>679</v>
      </c>
      <c r="C37" s="47" t="s">
        <v>129</v>
      </c>
      <c r="D37" s="47" t="s">
        <v>129</v>
      </c>
      <c r="E37" s="47" t="s">
        <v>129</v>
      </c>
      <c r="F37" s="134" t="s">
        <v>686</v>
      </c>
    </row>
    <row r="38" spans="1:6" s="11" customFormat="1" ht="21.75" customHeight="1" x14ac:dyDescent="0.25">
      <c r="A38" s="16" t="s">
        <v>34</v>
      </c>
      <c r="B38" s="6" t="s">
        <v>791</v>
      </c>
      <c r="C38" s="45"/>
      <c r="D38" s="45"/>
      <c r="E38" s="6"/>
      <c r="F38" s="6"/>
    </row>
    <row r="39" spans="1:6" s="11" customFormat="1" ht="21.75" customHeight="1" x14ac:dyDescent="0.25">
      <c r="A39" s="34"/>
      <c r="B39" s="10" t="s">
        <v>699</v>
      </c>
      <c r="C39" s="47" t="s">
        <v>129</v>
      </c>
      <c r="D39" s="47"/>
      <c r="E39" s="47" t="s">
        <v>129</v>
      </c>
      <c r="F39" s="60" t="s">
        <v>129</v>
      </c>
    </row>
    <row r="40" spans="1:6" ht="17.25" customHeight="1" x14ac:dyDescent="0.25">
      <c r="A40" s="19"/>
      <c r="B40" s="91" t="s">
        <v>1</v>
      </c>
      <c r="C40" s="56" t="s">
        <v>143</v>
      </c>
      <c r="D40" s="192" t="s">
        <v>129</v>
      </c>
      <c r="E40" s="192" t="s">
        <v>605</v>
      </c>
      <c r="F40" s="206" t="s">
        <v>624</v>
      </c>
    </row>
    <row r="41" spans="1:6" ht="17.25" customHeight="1" x14ac:dyDescent="0.25">
      <c r="A41" s="19"/>
      <c r="B41" s="91" t="s">
        <v>3</v>
      </c>
      <c r="C41" s="56" t="s">
        <v>143</v>
      </c>
      <c r="D41" s="193"/>
      <c r="E41" s="193"/>
      <c r="F41" s="207"/>
    </row>
    <row r="42" spans="1:6" ht="17.25" customHeight="1" x14ac:dyDescent="0.25">
      <c r="A42" s="19"/>
      <c r="B42" s="91" t="s">
        <v>2</v>
      </c>
      <c r="C42" s="56" t="s">
        <v>144</v>
      </c>
      <c r="D42" s="193"/>
      <c r="E42" s="193"/>
      <c r="F42" s="207"/>
    </row>
    <row r="43" spans="1:6" ht="17.25" customHeight="1" x14ac:dyDescent="0.25">
      <c r="A43" s="19"/>
      <c r="B43" s="91" t="s">
        <v>6</v>
      </c>
      <c r="C43" s="56" t="s">
        <v>145</v>
      </c>
      <c r="D43" s="193"/>
      <c r="E43" s="193"/>
      <c r="F43" s="207"/>
    </row>
    <row r="44" spans="1:6" ht="17.25" customHeight="1" x14ac:dyDescent="0.25">
      <c r="A44" s="19"/>
      <c r="B44" s="91" t="s">
        <v>4</v>
      </c>
      <c r="C44" s="56" t="s">
        <v>144</v>
      </c>
      <c r="D44" s="193"/>
      <c r="E44" s="193"/>
      <c r="F44" s="207"/>
    </row>
    <row r="45" spans="1:6" ht="17.25" customHeight="1" x14ac:dyDescent="0.25">
      <c r="A45" s="19"/>
      <c r="B45" s="91" t="s">
        <v>5</v>
      </c>
      <c r="C45" s="56" t="s">
        <v>129</v>
      </c>
      <c r="D45" s="193"/>
      <c r="E45" s="193"/>
      <c r="F45" s="207"/>
    </row>
    <row r="46" spans="1:6" ht="17.25" customHeight="1" x14ac:dyDescent="0.25">
      <c r="A46" s="19"/>
      <c r="B46" s="91" t="s">
        <v>7</v>
      </c>
      <c r="C46" s="56" t="s">
        <v>129</v>
      </c>
      <c r="D46" s="194"/>
      <c r="E46" s="194"/>
      <c r="F46" s="208"/>
    </row>
    <row r="47" spans="1:6" s="11" customFormat="1" ht="21.75" customHeight="1" x14ac:dyDescent="0.25">
      <c r="A47" s="34"/>
      <c r="B47" s="10" t="s">
        <v>793</v>
      </c>
      <c r="C47" s="47" t="s">
        <v>129</v>
      </c>
      <c r="D47" s="53"/>
      <c r="E47" s="57" t="s">
        <v>610</v>
      </c>
      <c r="F47" s="60" t="s">
        <v>625</v>
      </c>
    </row>
    <row r="48" spans="1:6" s="11" customFormat="1" ht="21.75" customHeight="1" x14ac:dyDescent="0.25">
      <c r="A48" s="34"/>
      <c r="B48" s="10" t="s">
        <v>461</v>
      </c>
      <c r="C48" s="47" t="s">
        <v>129</v>
      </c>
      <c r="D48" s="47" t="s">
        <v>129</v>
      </c>
      <c r="E48" s="57" t="s">
        <v>129</v>
      </c>
      <c r="F48" s="60" t="s">
        <v>129</v>
      </c>
    </row>
    <row r="49" spans="1:6" ht="30" customHeight="1" x14ac:dyDescent="0.25">
      <c r="A49" s="34"/>
      <c r="B49" s="5" t="s">
        <v>436</v>
      </c>
      <c r="C49" s="47" t="s">
        <v>129</v>
      </c>
      <c r="D49" s="47" t="s">
        <v>129</v>
      </c>
      <c r="E49" s="47" t="s">
        <v>129</v>
      </c>
      <c r="F49" s="136" t="s">
        <v>687</v>
      </c>
    </row>
    <row r="50" spans="1:6" ht="34.5" customHeight="1" x14ac:dyDescent="0.25">
      <c r="A50" s="19"/>
      <c r="B50" s="65" t="s">
        <v>464</v>
      </c>
      <c r="C50" s="47" t="s">
        <v>129</v>
      </c>
      <c r="D50" s="47" t="s">
        <v>129</v>
      </c>
      <c r="E50" s="47" t="s">
        <v>129</v>
      </c>
      <c r="F50" s="60" t="s">
        <v>129</v>
      </c>
    </row>
    <row r="51" spans="1:6" ht="21.75" customHeight="1" x14ac:dyDescent="0.25">
      <c r="A51" s="18"/>
      <c r="B51" s="64" t="s">
        <v>644</v>
      </c>
      <c r="C51" s="47"/>
      <c r="D51" s="114" t="s">
        <v>200</v>
      </c>
      <c r="E51" s="47"/>
      <c r="F51" s="60"/>
    </row>
    <row r="52" spans="1:6" s="11" customFormat="1" ht="21.75" customHeight="1" x14ac:dyDescent="0.25">
      <c r="A52" s="16" t="s">
        <v>34</v>
      </c>
      <c r="B52" s="6" t="s">
        <v>570</v>
      </c>
      <c r="C52" s="45"/>
      <c r="D52" s="45"/>
      <c r="E52" s="6"/>
      <c r="F52" s="6"/>
    </row>
    <row r="53" spans="1:6" s="11" customFormat="1" ht="21.75" customHeight="1" x14ac:dyDescent="0.25">
      <c r="A53" s="34"/>
      <c r="B53" s="10" t="s">
        <v>455</v>
      </c>
      <c r="C53" s="45"/>
      <c r="D53" s="45"/>
      <c r="E53" s="6"/>
      <c r="F53" s="6"/>
    </row>
    <row r="54" spans="1:6" ht="32.25" customHeight="1" x14ac:dyDescent="0.25">
      <c r="A54" s="34"/>
      <c r="B54" s="64" t="s">
        <v>622</v>
      </c>
      <c r="C54" s="49" t="s">
        <v>129</v>
      </c>
      <c r="D54" s="114" t="s">
        <v>201</v>
      </c>
      <c r="E54" s="47" t="s">
        <v>129</v>
      </c>
      <c r="F54" s="56" t="s">
        <v>583</v>
      </c>
    </row>
    <row r="55" spans="1:6" s="11" customFormat="1" ht="50.25" customHeight="1" x14ac:dyDescent="0.25">
      <c r="A55" s="34"/>
      <c r="B55" s="100" t="s">
        <v>585</v>
      </c>
      <c r="C55" s="47" t="s">
        <v>127</v>
      </c>
      <c r="D55" s="53" t="s">
        <v>129</v>
      </c>
      <c r="E55" s="57" t="s">
        <v>663</v>
      </c>
      <c r="F55" s="56" t="s">
        <v>626</v>
      </c>
    </row>
    <row r="56" spans="1:6" s="11" customFormat="1" ht="34.5" customHeight="1" x14ac:dyDescent="0.25">
      <c r="A56" s="34"/>
      <c r="B56" s="110" t="s">
        <v>587</v>
      </c>
      <c r="C56" s="49" t="s">
        <v>597</v>
      </c>
      <c r="D56" s="49" t="s">
        <v>129</v>
      </c>
      <c r="E56" s="57" t="s">
        <v>606</v>
      </c>
      <c r="F56" s="137" t="s">
        <v>598</v>
      </c>
    </row>
    <row r="57" spans="1:6" s="11" customFormat="1" ht="62.25" customHeight="1" x14ac:dyDescent="0.25">
      <c r="A57" s="34"/>
      <c r="B57" s="111" t="s">
        <v>588</v>
      </c>
      <c r="C57" s="47" t="s">
        <v>128</v>
      </c>
      <c r="D57" s="53" t="s">
        <v>129</v>
      </c>
      <c r="E57" s="57" t="s">
        <v>611</v>
      </c>
      <c r="F57" s="137" t="s">
        <v>629</v>
      </c>
    </row>
    <row r="58" spans="1:6" s="11" customFormat="1" ht="47.25" x14ac:dyDescent="0.25">
      <c r="A58" s="34"/>
      <c r="B58" s="100" t="s">
        <v>586</v>
      </c>
      <c r="C58" s="47"/>
      <c r="D58" s="192" t="s">
        <v>129</v>
      </c>
      <c r="E58" s="192" t="s">
        <v>607</v>
      </c>
      <c r="F58" s="209" t="s">
        <v>589</v>
      </c>
    </row>
    <row r="59" spans="1:6" s="11" customFormat="1" ht="31.5" x14ac:dyDescent="0.25">
      <c r="A59" s="34"/>
      <c r="B59" s="110" t="s">
        <v>477</v>
      </c>
      <c r="C59" s="56" t="s">
        <v>596</v>
      </c>
      <c r="D59" s="194"/>
      <c r="E59" s="194"/>
      <c r="F59" s="210"/>
    </row>
    <row r="60" spans="1:6" s="11" customFormat="1" ht="21.75" customHeight="1" x14ac:dyDescent="0.25">
      <c r="A60" s="34"/>
      <c r="B60" s="100" t="s">
        <v>476</v>
      </c>
      <c r="C60" s="47" t="s">
        <v>563</v>
      </c>
      <c r="D60" s="53" t="s">
        <v>129</v>
      </c>
      <c r="E60" s="57" t="s">
        <v>612</v>
      </c>
      <c r="F60" s="25" t="s">
        <v>627</v>
      </c>
    </row>
    <row r="61" spans="1:6" s="11" customFormat="1" ht="21.75" customHeight="1" x14ac:dyDescent="0.25">
      <c r="A61" s="34"/>
      <c r="B61" s="110" t="s">
        <v>478</v>
      </c>
      <c r="C61" s="47" t="s">
        <v>481</v>
      </c>
      <c r="D61" s="53" t="s">
        <v>129</v>
      </c>
      <c r="E61" s="57" t="s">
        <v>613</v>
      </c>
      <c r="F61" s="25" t="s">
        <v>628</v>
      </c>
    </row>
    <row r="62" spans="1:6" s="11" customFormat="1" ht="39" customHeight="1" x14ac:dyDescent="0.25">
      <c r="A62" s="34"/>
      <c r="B62" s="110" t="s">
        <v>479</v>
      </c>
      <c r="C62" s="47" t="s">
        <v>127</v>
      </c>
      <c r="D62" s="192" t="s">
        <v>129</v>
      </c>
      <c r="E62" s="192" t="s">
        <v>614</v>
      </c>
      <c r="F62" s="206" t="s">
        <v>701</v>
      </c>
    </row>
    <row r="63" spans="1:6" s="11" customFormat="1" ht="39" customHeight="1" x14ac:dyDescent="0.25">
      <c r="A63" s="34"/>
      <c r="B63" s="110" t="s">
        <v>565</v>
      </c>
      <c r="C63" s="47" t="s">
        <v>127</v>
      </c>
      <c r="D63" s="194"/>
      <c r="E63" s="194"/>
      <c r="F63" s="208"/>
    </row>
    <row r="64" spans="1:6" s="11" customFormat="1" ht="25.5" customHeight="1" x14ac:dyDescent="0.25">
      <c r="A64" s="34"/>
      <c r="B64" s="110" t="s">
        <v>681</v>
      </c>
      <c r="C64" s="52"/>
      <c r="D64" s="108" t="s">
        <v>129</v>
      </c>
      <c r="E64" s="57" t="s">
        <v>608</v>
      </c>
      <c r="F64" s="135"/>
    </row>
    <row r="65" spans="1:6" s="11" customFormat="1" ht="21.75" customHeight="1" x14ac:dyDescent="0.25">
      <c r="A65" s="34"/>
      <c r="B65" s="110" t="s">
        <v>27</v>
      </c>
      <c r="C65" s="195" t="s">
        <v>129</v>
      </c>
      <c r="D65" s="195" t="s">
        <v>129</v>
      </c>
      <c r="E65" s="57" t="s">
        <v>616</v>
      </c>
      <c r="F65" s="206" t="s">
        <v>604</v>
      </c>
    </row>
    <row r="66" spans="1:6" s="11" customFormat="1" ht="21.75" customHeight="1" x14ac:dyDescent="0.25">
      <c r="A66" s="34"/>
      <c r="B66" s="110" t="s">
        <v>599</v>
      </c>
      <c r="C66" s="196"/>
      <c r="D66" s="196"/>
      <c r="E66" s="195" t="s">
        <v>615</v>
      </c>
      <c r="F66" s="207"/>
    </row>
    <row r="67" spans="1:6" s="11" customFormat="1" ht="21.75" customHeight="1" x14ac:dyDescent="0.25">
      <c r="A67" s="34"/>
      <c r="B67" s="110" t="s">
        <v>600</v>
      </c>
      <c r="C67" s="198"/>
      <c r="D67" s="198"/>
      <c r="E67" s="198"/>
      <c r="F67" s="208"/>
    </row>
    <row r="68" spans="1:6" s="11" customFormat="1" ht="21.75" customHeight="1" x14ac:dyDescent="0.25">
      <c r="A68" s="34"/>
      <c r="B68" s="110" t="s">
        <v>480</v>
      </c>
      <c r="C68" s="56" t="s">
        <v>185</v>
      </c>
      <c r="D68" s="195" t="s">
        <v>129</v>
      </c>
      <c r="E68" s="195" t="s">
        <v>609</v>
      </c>
      <c r="F68" s="211" t="s">
        <v>592</v>
      </c>
    </row>
    <row r="69" spans="1:6" s="11" customFormat="1" ht="21.75" customHeight="1" x14ac:dyDescent="0.25">
      <c r="A69" s="34"/>
      <c r="B69" s="100" t="s">
        <v>186</v>
      </c>
      <c r="C69" s="47" t="s">
        <v>601</v>
      </c>
      <c r="D69" s="198"/>
      <c r="E69" s="198"/>
      <c r="F69" s="212"/>
    </row>
    <row r="70" spans="1:6" s="11" customFormat="1" ht="83.25" customHeight="1" x14ac:dyDescent="0.25">
      <c r="A70" s="34"/>
      <c r="B70" s="65" t="s">
        <v>619</v>
      </c>
      <c r="C70" s="47"/>
      <c r="D70" s="53" t="s">
        <v>129</v>
      </c>
      <c r="E70" s="57" t="s">
        <v>617</v>
      </c>
      <c r="F70" s="60"/>
    </row>
    <row r="71" spans="1:6" s="11" customFormat="1" ht="21.75" customHeight="1" x14ac:dyDescent="0.25">
      <c r="A71" s="112"/>
      <c r="B71" s="109" t="s">
        <v>482</v>
      </c>
      <c r="C71" s="47"/>
      <c r="D71" s="49" t="s">
        <v>129</v>
      </c>
      <c r="E71" s="57" t="s">
        <v>621</v>
      </c>
      <c r="F71" s="138" t="s">
        <v>566</v>
      </c>
    </row>
    <row r="72" spans="1:6" s="11" customFormat="1" ht="21.75" customHeight="1" x14ac:dyDescent="0.25">
      <c r="A72" s="16" t="s">
        <v>34</v>
      </c>
      <c r="B72" s="6" t="s">
        <v>190</v>
      </c>
      <c r="C72" s="45"/>
      <c r="D72" s="45"/>
      <c r="E72" s="6"/>
      <c r="F72" s="6"/>
    </row>
    <row r="73" spans="1:6" ht="21.75" customHeight="1" x14ac:dyDescent="0.25">
      <c r="A73" s="32"/>
      <c r="B73" s="27" t="s">
        <v>462</v>
      </c>
      <c r="C73" s="47" t="s">
        <v>129</v>
      </c>
      <c r="D73" s="47" t="s">
        <v>129</v>
      </c>
      <c r="E73" s="47" t="s">
        <v>129</v>
      </c>
      <c r="F73" s="60" t="s">
        <v>129</v>
      </c>
    </row>
    <row r="74" spans="1:6" ht="21.75" customHeight="1" x14ac:dyDescent="0.25">
      <c r="A74" s="32"/>
      <c r="B74" s="27" t="s">
        <v>475</v>
      </c>
      <c r="C74" s="47" t="s">
        <v>129</v>
      </c>
      <c r="D74" s="47" t="s">
        <v>129</v>
      </c>
      <c r="E74" s="47" t="s">
        <v>129</v>
      </c>
      <c r="F74" s="60" t="s">
        <v>129</v>
      </c>
    </row>
    <row r="75" spans="1:6" ht="21.75" customHeight="1" x14ac:dyDescent="0.25">
      <c r="A75" s="32"/>
      <c r="B75" s="27" t="s">
        <v>463</v>
      </c>
      <c r="C75" s="47" t="s">
        <v>129</v>
      </c>
      <c r="D75" s="47" t="s">
        <v>129</v>
      </c>
      <c r="E75" s="47" t="s">
        <v>129</v>
      </c>
      <c r="F75" s="60" t="s">
        <v>129</v>
      </c>
    </row>
    <row r="76" spans="1:6" ht="21.75" customHeight="1" x14ac:dyDescent="0.25">
      <c r="A76" s="32"/>
      <c r="B76" s="29" t="s">
        <v>73</v>
      </c>
      <c r="C76" s="47" t="s">
        <v>129</v>
      </c>
      <c r="D76" s="47" t="s">
        <v>129</v>
      </c>
      <c r="E76" s="47" t="s">
        <v>129</v>
      </c>
      <c r="F76" s="60" t="s">
        <v>129</v>
      </c>
    </row>
    <row r="77" spans="1:6" ht="21.75" customHeight="1" x14ac:dyDescent="0.25">
      <c r="A77" s="17"/>
      <c r="B77" s="97" t="s">
        <v>483</v>
      </c>
      <c r="C77" s="47" t="s">
        <v>129</v>
      </c>
      <c r="D77" s="47" t="s">
        <v>129</v>
      </c>
      <c r="E77" s="47" t="s">
        <v>129</v>
      </c>
      <c r="F77" s="60" t="s">
        <v>129</v>
      </c>
    </row>
    <row r="78" spans="1:6" ht="21.75" customHeight="1" x14ac:dyDescent="0.25">
      <c r="A78" s="32"/>
      <c r="B78" s="27" t="s">
        <v>191</v>
      </c>
      <c r="C78" s="47" t="s">
        <v>129</v>
      </c>
      <c r="D78" s="47" t="s">
        <v>129</v>
      </c>
      <c r="E78" s="47" t="s">
        <v>129</v>
      </c>
      <c r="F78" s="60" t="s">
        <v>129</v>
      </c>
    </row>
    <row r="79" spans="1:6" ht="21.75" customHeight="1" x14ac:dyDescent="0.25">
      <c r="A79" s="32"/>
      <c r="B79" s="27" t="s">
        <v>452</v>
      </c>
      <c r="C79" s="47" t="s">
        <v>129</v>
      </c>
      <c r="D79" s="47" t="s">
        <v>129</v>
      </c>
      <c r="E79" s="47" t="s">
        <v>129</v>
      </c>
      <c r="F79" s="60" t="s">
        <v>129</v>
      </c>
    </row>
    <row r="80" spans="1:6" ht="21.75" customHeight="1" x14ac:dyDescent="0.25">
      <c r="A80" s="32"/>
      <c r="B80" s="27" t="s">
        <v>453</v>
      </c>
      <c r="C80" s="47" t="s">
        <v>129</v>
      </c>
      <c r="D80" s="47" t="s">
        <v>129</v>
      </c>
      <c r="E80" s="47" t="s">
        <v>129</v>
      </c>
      <c r="F80" s="60" t="s">
        <v>129</v>
      </c>
    </row>
    <row r="81" spans="1:6" ht="17.25" customHeight="1" x14ac:dyDescent="0.25">
      <c r="A81" s="32"/>
      <c r="B81" s="97" t="s">
        <v>493</v>
      </c>
      <c r="C81" s="47" t="s">
        <v>129</v>
      </c>
      <c r="D81" s="47" t="s">
        <v>129</v>
      </c>
      <c r="E81" s="47" t="s">
        <v>129</v>
      </c>
      <c r="F81" s="60" t="s">
        <v>129</v>
      </c>
    </row>
    <row r="82" spans="1:6" s="15" customFormat="1" ht="21.75" customHeight="1" x14ac:dyDescent="0.25">
      <c r="A82" s="12">
        <v>3</v>
      </c>
      <c r="B82" s="13" t="s">
        <v>410</v>
      </c>
      <c r="C82" s="44"/>
      <c r="D82" s="44"/>
      <c r="E82" s="44"/>
      <c r="F82" s="133" t="s">
        <v>137</v>
      </c>
    </row>
    <row r="83" spans="1:6" s="11" customFormat="1" ht="21.75" customHeight="1" x14ac:dyDescent="0.25">
      <c r="A83" s="16" t="s">
        <v>34</v>
      </c>
      <c r="B83" s="6" t="s">
        <v>495</v>
      </c>
      <c r="C83" s="45"/>
      <c r="D83" s="45"/>
      <c r="E83" s="6"/>
      <c r="F83" s="6"/>
    </row>
    <row r="84" spans="1:6" ht="21.75" customHeight="1" x14ac:dyDescent="0.25">
      <c r="A84" s="19"/>
      <c r="B84" s="10" t="s">
        <v>485</v>
      </c>
      <c r="C84" s="47"/>
      <c r="D84" s="47"/>
      <c r="E84" s="96"/>
      <c r="F84" s="60"/>
    </row>
    <row r="85" spans="1:6" ht="21.75" customHeight="1" x14ac:dyDescent="0.25">
      <c r="A85" s="19"/>
      <c r="B85" s="10" t="s">
        <v>562</v>
      </c>
      <c r="C85" s="47"/>
      <c r="D85" s="47"/>
      <c r="E85" s="96"/>
      <c r="F85" s="60"/>
    </row>
    <row r="86" spans="1:6" ht="21.75" customHeight="1" x14ac:dyDescent="0.25">
      <c r="A86" s="19"/>
      <c r="B86" s="10" t="s">
        <v>500</v>
      </c>
      <c r="C86" s="47"/>
      <c r="D86" s="47"/>
      <c r="E86" s="204" t="s">
        <v>633</v>
      </c>
      <c r="F86" s="60" t="s">
        <v>631</v>
      </c>
    </row>
    <row r="87" spans="1:6" ht="21" customHeight="1" x14ac:dyDescent="0.25">
      <c r="A87" s="19"/>
      <c r="B87" s="10" t="s">
        <v>499</v>
      </c>
      <c r="C87" s="47"/>
      <c r="D87" s="47"/>
      <c r="E87" s="205"/>
      <c r="F87" s="138" t="s">
        <v>635</v>
      </c>
    </row>
    <row r="88" spans="1:6" ht="20.25" customHeight="1" x14ac:dyDescent="0.25">
      <c r="A88" s="19"/>
      <c r="B88" s="10" t="s">
        <v>246</v>
      </c>
      <c r="C88" s="47"/>
      <c r="D88" s="47"/>
      <c r="E88" s="96" t="s">
        <v>634</v>
      </c>
      <c r="F88" s="60"/>
    </row>
    <row r="89" spans="1:6" ht="31.5" customHeight="1" x14ac:dyDescent="0.25">
      <c r="A89" s="19"/>
      <c r="B89" s="10" t="s">
        <v>632</v>
      </c>
      <c r="C89" s="298" t="s">
        <v>630</v>
      </c>
      <c r="D89" s="299"/>
      <c r="E89" s="297"/>
      <c r="F89" s="297"/>
    </row>
    <row r="90" spans="1:6" ht="21.75" customHeight="1" x14ac:dyDescent="0.25">
      <c r="A90" s="19"/>
      <c r="B90" s="10" t="s">
        <v>490</v>
      </c>
      <c r="C90" s="49"/>
      <c r="D90" s="53"/>
      <c r="E90" s="96"/>
      <c r="F90" s="56"/>
    </row>
    <row r="91" spans="1:6" ht="21.75" customHeight="1" x14ac:dyDescent="0.25">
      <c r="A91" s="19"/>
      <c r="B91" s="10" t="s">
        <v>491</v>
      </c>
      <c r="C91" s="49"/>
      <c r="D91" s="53"/>
      <c r="E91" s="96"/>
      <c r="F91" s="56"/>
    </row>
    <row r="92" spans="1:6" ht="21.75" customHeight="1" x14ac:dyDescent="0.25">
      <c r="A92" s="19"/>
      <c r="B92" s="99" t="s">
        <v>492</v>
      </c>
      <c r="C92" s="49"/>
      <c r="D92" s="53"/>
      <c r="E92" s="96"/>
      <c r="F92" s="56"/>
    </row>
    <row r="93" spans="1:6" s="11" customFormat="1" ht="21.75" customHeight="1" x14ac:dyDescent="0.25">
      <c r="A93" s="16" t="s">
        <v>34</v>
      </c>
      <c r="B93" s="6" t="s">
        <v>494</v>
      </c>
      <c r="C93" s="45"/>
      <c r="D93" s="45"/>
      <c r="E93" s="6"/>
      <c r="F93" s="139"/>
    </row>
    <row r="94" spans="1:6" ht="18" customHeight="1" x14ac:dyDescent="0.25">
      <c r="A94" s="19"/>
      <c r="B94" s="10" t="s">
        <v>489</v>
      </c>
      <c r="C94" s="47"/>
      <c r="D94" s="47"/>
      <c r="E94" s="96"/>
      <c r="F94" s="60"/>
    </row>
    <row r="95" spans="1:6" ht="21.75" customHeight="1" x14ac:dyDescent="0.25">
      <c r="A95" s="19"/>
      <c r="B95" s="10" t="s">
        <v>484</v>
      </c>
      <c r="C95" s="47"/>
      <c r="D95" s="47"/>
      <c r="E95" s="96"/>
      <c r="F95" s="60"/>
    </row>
    <row r="96" spans="1:6" ht="21.75" customHeight="1" x14ac:dyDescent="0.25">
      <c r="A96" s="19"/>
      <c r="B96" s="98" t="s">
        <v>639</v>
      </c>
      <c r="C96" s="47"/>
      <c r="D96" s="47"/>
      <c r="E96" s="96"/>
      <c r="F96" s="60"/>
    </row>
    <row r="97" spans="1:6" ht="21.75" customHeight="1" x14ac:dyDescent="0.25">
      <c r="A97" s="19"/>
      <c r="B97" s="10" t="s">
        <v>498</v>
      </c>
      <c r="C97" s="47"/>
      <c r="D97" s="47"/>
      <c r="E97" s="96"/>
      <c r="F97" s="60"/>
    </row>
    <row r="98" spans="1:6" ht="18.75" customHeight="1" x14ac:dyDescent="0.25">
      <c r="A98" s="19"/>
      <c r="B98" s="98" t="s">
        <v>497</v>
      </c>
      <c r="C98" s="47"/>
      <c r="D98" s="47"/>
      <c r="E98" s="96"/>
      <c r="F98" s="60"/>
    </row>
    <row r="99" spans="1:6" ht="27.75" customHeight="1" x14ac:dyDescent="0.25">
      <c r="A99" s="19"/>
      <c r="B99" s="10" t="s">
        <v>894</v>
      </c>
      <c r="C99" s="54"/>
      <c r="D99" s="52"/>
      <c r="E99" s="96"/>
      <c r="F99" s="140" t="s">
        <v>636</v>
      </c>
    </row>
    <row r="100" spans="1:6" ht="17.25" customHeight="1" x14ac:dyDescent="0.25">
      <c r="A100" s="20"/>
      <c r="B100" s="99" t="s">
        <v>496</v>
      </c>
      <c r="C100" s="49"/>
      <c r="D100" s="49"/>
      <c r="E100" s="96"/>
      <c r="F100" s="56"/>
    </row>
    <row r="101" spans="1:6" s="11" customFormat="1" ht="21.75" customHeight="1" x14ac:dyDescent="0.25">
      <c r="A101" s="16" t="s">
        <v>34</v>
      </c>
      <c r="B101" s="6" t="s">
        <v>486</v>
      </c>
      <c r="C101" s="45"/>
      <c r="D101" s="45"/>
      <c r="E101" s="6"/>
      <c r="F101" s="139"/>
    </row>
    <row r="102" spans="1:6" s="11" customFormat="1" ht="21.75" customHeight="1" x14ac:dyDescent="0.25">
      <c r="A102" s="34"/>
      <c r="B102" s="101" t="s">
        <v>531</v>
      </c>
      <c r="C102" s="6"/>
      <c r="D102" s="6"/>
      <c r="E102" s="6"/>
      <c r="F102" s="6"/>
    </row>
    <row r="103" spans="1:6" s="11" customFormat="1" ht="21.75" customHeight="1" x14ac:dyDescent="0.25">
      <c r="A103" s="34"/>
      <c r="B103" s="104" t="s">
        <v>503</v>
      </c>
      <c r="C103" s="47"/>
      <c r="D103" s="47"/>
      <c r="E103" s="96"/>
      <c r="F103" s="60"/>
    </row>
    <row r="104" spans="1:6" s="11" customFormat="1" ht="21.75" customHeight="1" x14ac:dyDescent="0.25">
      <c r="A104" s="34"/>
      <c r="B104" s="104" t="s">
        <v>548</v>
      </c>
      <c r="C104" s="47"/>
      <c r="D104" s="47"/>
      <c r="E104" s="96"/>
      <c r="F104" s="60"/>
    </row>
    <row r="105" spans="1:6" s="11" customFormat="1" ht="21.75" customHeight="1" x14ac:dyDescent="0.25">
      <c r="A105" s="34"/>
      <c r="B105" s="101" t="s">
        <v>534</v>
      </c>
      <c r="C105" s="6"/>
      <c r="D105" s="6"/>
      <c r="E105" s="6"/>
      <c r="F105" s="6"/>
    </row>
    <row r="106" spans="1:6" ht="21.75" customHeight="1" x14ac:dyDescent="0.25">
      <c r="A106" s="19"/>
      <c r="B106" s="104" t="s">
        <v>503</v>
      </c>
      <c r="C106" s="47"/>
      <c r="D106" s="47"/>
      <c r="E106" s="96"/>
      <c r="F106" s="60"/>
    </row>
    <row r="107" spans="1:6" ht="35.25" customHeight="1" x14ac:dyDescent="0.25">
      <c r="A107" s="19"/>
      <c r="B107" s="104" t="s">
        <v>206</v>
      </c>
      <c r="C107" s="47"/>
      <c r="D107" s="47"/>
      <c r="E107" s="96"/>
      <c r="F107" s="60"/>
    </row>
    <row r="108" spans="1:6" ht="21" customHeight="1" x14ac:dyDescent="0.25">
      <c r="A108" s="19"/>
      <c r="B108" s="104" t="s">
        <v>504</v>
      </c>
      <c r="C108" s="54"/>
      <c r="D108" s="52"/>
      <c r="E108" s="96"/>
      <c r="F108" s="60"/>
    </row>
    <row r="109" spans="1:6" s="11" customFormat="1" ht="21.75" customHeight="1" x14ac:dyDescent="0.25">
      <c r="A109" s="34"/>
      <c r="B109" s="104" t="s">
        <v>548</v>
      </c>
      <c r="C109" s="47"/>
      <c r="D109" s="47"/>
      <c r="E109" s="96"/>
      <c r="F109" s="60"/>
    </row>
    <row r="110" spans="1:6" s="11" customFormat="1" ht="21.75" customHeight="1" x14ac:dyDescent="0.25">
      <c r="A110" s="34"/>
      <c r="B110" s="101" t="s">
        <v>538</v>
      </c>
      <c r="C110" s="6"/>
      <c r="D110" s="6"/>
      <c r="E110" s="6"/>
      <c r="F110" s="6"/>
    </row>
    <row r="111" spans="1:6" ht="18" customHeight="1" x14ac:dyDescent="0.25">
      <c r="A111" s="19"/>
      <c r="B111" s="104" t="s">
        <v>503</v>
      </c>
      <c r="C111" s="47"/>
      <c r="D111" s="52"/>
      <c r="E111" s="96"/>
      <c r="F111" s="60"/>
    </row>
    <row r="112" spans="1:6" ht="18" customHeight="1" x14ac:dyDescent="0.25">
      <c r="A112" s="19"/>
      <c r="B112" s="104" t="s">
        <v>504</v>
      </c>
      <c r="C112" s="54"/>
      <c r="D112" s="52"/>
      <c r="E112" s="96"/>
      <c r="F112" s="60"/>
    </row>
    <row r="113" spans="1:6" ht="18" customHeight="1" x14ac:dyDescent="0.25">
      <c r="A113" s="19"/>
      <c r="B113" s="104" t="s">
        <v>548</v>
      </c>
      <c r="C113" s="54"/>
      <c r="D113" s="52"/>
      <c r="E113" s="96"/>
      <c r="F113" s="60"/>
    </row>
    <row r="114" spans="1:6" s="11" customFormat="1" ht="21.75" customHeight="1" x14ac:dyDescent="0.25">
      <c r="A114" s="34"/>
      <c r="B114" s="101" t="s">
        <v>543</v>
      </c>
      <c r="C114" s="6"/>
      <c r="D114" s="6"/>
      <c r="E114" s="6"/>
      <c r="F114" s="6"/>
    </row>
    <row r="115" spans="1:6" s="11" customFormat="1" ht="23.25" customHeight="1" x14ac:dyDescent="0.25">
      <c r="A115" s="34"/>
      <c r="B115" s="104" t="s">
        <v>503</v>
      </c>
      <c r="C115" s="47"/>
      <c r="D115" s="52"/>
      <c r="E115" s="96"/>
      <c r="F115" s="60"/>
    </row>
    <row r="116" spans="1:6" s="11" customFormat="1" ht="23.25" customHeight="1" x14ac:dyDescent="0.25">
      <c r="A116" s="34"/>
      <c r="B116" s="104" t="s">
        <v>551</v>
      </c>
      <c r="C116" s="47"/>
      <c r="D116" s="52"/>
      <c r="E116" s="96"/>
      <c r="F116" s="60"/>
    </row>
    <row r="117" spans="1:6" s="11" customFormat="1" ht="23.25" customHeight="1" x14ac:dyDescent="0.25">
      <c r="A117" s="34"/>
      <c r="B117" s="105" t="s">
        <v>552</v>
      </c>
      <c r="C117" s="47"/>
      <c r="D117" s="52"/>
      <c r="E117" s="96"/>
      <c r="F117" s="60"/>
    </row>
    <row r="118" spans="1:6" s="11" customFormat="1" ht="23.25" customHeight="1" x14ac:dyDescent="0.25">
      <c r="A118" s="34"/>
      <c r="B118" s="104" t="s">
        <v>544</v>
      </c>
      <c r="C118" s="54"/>
      <c r="D118" s="52"/>
      <c r="E118" s="96"/>
      <c r="F118" s="60"/>
    </row>
    <row r="119" spans="1:6" s="11" customFormat="1" ht="21.75" customHeight="1" x14ac:dyDescent="0.25">
      <c r="A119" s="34"/>
      <c r="B119" s="101" t="s">
        <v>542</v>
      </c>
      <c r="C119" s="6"/>
      <c r="D119" s="6"/>
      <c r="E119" s="6"/>
      <c r="F119" s="6"/>
    </row>
    <row r="120" spans="1:6" s="11" customFormat="1" ht="19.5" customHeight="1" x14ac:dyDescent="0.25">
      <c r="A120" s="34"/>
      <c r="B120" s="104" t="s">
        <v>637</v>
      </c>
      <c r="C120" s="47"/>
      <c r="D120" s="52"/>
      <c r="E120" s="96"/>
      <c r="F120" s="60"/>
    </row>
    <row r="121" spans="1:6" s="11" customFormat="1" ht="19.5" customHeight="1" x14ac:dyDescent="0.25">
      <c r="A121" s="34"/>
      <c r="B121" s="104" t="s">
        <v>549</v>
      </c>
      <c r="C121" s="54"/>
      <c r="D121" s="52"/>
      <c r="E121" s="96"/>
      <c r="F121" s="60"/>
    </row>
    <row r="122" spans="1:6" ht="21.75" customHeight="1" x14ac:dyDescent="0.25">
      <c r="A122" s="19"/>
      <c r="B122" s="10" t="s">
        <v>501</v>
      </c>
      <c r="C122" s="54"/>
      <c r="D122" s="52"/>
      <c r="E122" s="96"/>
      <c r="F122" s="60"/>
    </row>
    <row r="123" spans="1:6" ht="21.75" customHeight="1" x14ac:dyDescent="0.25">
      <c r="A123" s="20"/>
      <c r="B123" s="99" t="s">
        <v>502</v>
      </c>
      <c r="C123" s="49"/>
      <c r="D123" s="49"/>
      <c r="E123" s="96"/>
      <c r="F123" s="56"/>
    </row>
    <row r="124" spans="1:6" s="15" customFormat="1" ht="21.75" customHeight="1" x14ac:dyDescent="0.25">
      <c r="A124" s="28">
        <v>4</v>
      </c>
      <c r="B124" s="13" t="s">
        <v>197</v>
      </c>
      <c r="C124" s="44"/>
      <c r="D124" s="44"/>
      <c r="E124" s="44"/>
      <c r="F124" s="133" t="s">
        <v>138</v>
      </c>
    </row>
    <row r="125" spans="1:6" s="11" customFormat="1" ht="21.75" customHeight="1" x14ac:dyDescent="0.25">
      <c r="A125" s="16" t="s">
        <v>34</v>
      </c>
      <c r="B125" s="6" t="s">
        <v>198</v>
      </c>
      <c r="C125" s="45"/>
      <c r="D125" s="45"/>
      <c r="E125" s="6"/>
      <c r="F125" s="6"/>
    </row>
    <row r="126" spans="1:6" s="11" customFormat="1" ht="21.75" customHeight="1" x14ac:dyDescent="0.25">
      <c r="A126" s="19"/>
      <c r="B126" s="26" t="s">
        <v>569</v>
      </c>
      <c r="C126" s="47" t="s">
        <v>129</v>
      </c>
      <c r="D126" s="47" t="s">
        <v>129</v>
      </c>
      <c r="E126" s="47" t="s">
        <v>129</v>
      </c>
      <c r="F126" s="60" t="s">
        <v>603</v>
      </c>
    </row>
    <row r="127" spans="1:6" s="11" customFormat="1" ht="21.75" customHeight="1" x14ac:dyDescent="0.25">
      <c r="A127" s="19"/>
      <c r="B127" s="30" t="s">
        <v>602</v>
      </c>
      <c r="C127" s="47" t="s">
        <v>129</v>
      </c>
      <c r="D127" s="47" t="s">
        <v>129</v>
      </c>
      <c r="E127" s="47" t="s">
        <v>129</v>
      </c>
      <c r="F127" s="60" t="s">
        <v>129</v>
      </c>
    </row>
    <row r="128" spans="1:6" s="11" customFormat="1" ht="33.75" customHeight="1" x14ac:dyDescent="0.25">
      <c r="A128" s="19"/>
      <c r="B128" s="30" t="s">
        <v>593</v>
      </c>
      <c r="C128" s="47" t="s">
        <v>129</v>
      </c>
      <c r="D128" s="47" t="s">
        <v>129</v>
      </c>
      <c r="E128" s="47" t="s">
        <v>129</v>
      </c>
      <c r="F128" s="60" t="s">
        <v>129</v>
      </c>
    </row>
    <row r="129" spans="1:6" s="11" customFormat="1" ht="21.75" customHeight="1" x14ac:dyDescent="0.25">
      <c r="A129" s="20"/>
      <c r="B129" s="26" t="s">
        <v>564</v>
      </c>
      <c r="C129" s="47" t="s">
        <v>129</v>
      </c>
      <c r="D129" s="47" t="s">
        <v>129</v>
      </c>
      <c r="E129" s="47" t="s">
        <v>129</v>
      </c>
      <c r="F129" s="60" t="s">
        <v>129</v>
      </c>
    </row>
    <row r="130" spans="1:6" ht="21.75" customHeight="1" x14ac:dyDescent="0.25">
      <c r="A130" s="16" t="s">
        <v>34</v>
      </c>
      <c r="B130" s="64" t="s">
        <v>38</v>
      </c>
      <c r="C130" s="6"/>
      <c r="D130" s="6"/>
      <c r="E130" s="6"/>
      <c r="F130" s="6"/>
    </row>
    <row r="131" spans="1:6" ht="32.25" customHeight="1" x14ac:dyDescent="0.25">
      <c r="A131" s="34"/>
      <c r="B131" s="26" t="s">
        <v>40</v>
      </c>
      <c r="C131" s="49" t="s">
        <v>129</v>
      </c>
      <c r="D131" s="47" t="s">
        <v>200</v>
      </c>
      <c r="E131" s="47" t="s">
        <v>129</v>
      </c>
      <c r="F131" s="56" t="s">
        <v>583</v>
      </c>
    </row>
    <row r="132" spans="1:6" ht="21.75" customHeight="1" x14ac:dyDescent="0.25">
      <c r="A132" s="16" t="s">
        <v>34</v>
      </c>
      <c r="B132" s="64" t="s">
        <v>591</v>
      </c>
      <c r="C132" s="6"/>
      <c r="D132" s="6"/>
      <c r="E132" s="6"/>
      <c r="F132" s="6" t="s">
        <v>129</v>
      </c>
    </row>
    <row r="133" spans="1:6" ht="65.25" customHeight="1" x14ac:dyDescent="0.25">
      <c r="A133" s="19"/>
      <c r="B133" s="100" t="s">
        <v>703</v>
      </c>
      <c r="C133" s="53" t="s">
        <v>129</v>
      </c>
      <c r="D133" s="49" t="s">
        <v>571</v>
      </c>
      <c r="E133" s="52" t="s">
        <v>129</v>
      </c>
      <c r="F133" s="60" t="s">
        <v>129</v>
      </c>
    </row>
    <row r="134" spans="1:6" ht="21.75" customHeight="1" x14ac:dyDescent="0.25">
      <c r="A134" s="19"/>
      <c r="B134" s="107" t="s">
        <v>584</v>
      </c>
      <c r="C134" s="53" t="s">
        <v>129</v>
      </c>
      <c r="D134" s="53" t="s">
        <v>129</v>
      </c>
      <c r="E134" s="53" t="s">
        <v>605</v>
      </c>
      <c r="F134" s="60"/>
    </row>
    <row r="135" spans="1:6" ht="21.75" customHeight="1" x14ac:dyDescent="0.25">
      <c r="A135" s="19"/>
      <c r="B135" s="107" t="s">
        <v>595</v>
      </c>
      <c r="C135" s="53" t="s">
        <v>129</v>
      </c>
      <c r="D135" s="53" t="s">
        <v>129</v>
      </c>
      <c r="E135" s="53" t="s">
        <v>606</v>
      </c>
      <c r="F135" s="60"/>
    </row>
    <row r="136" spans="1:6" ht="21.75" customHeight="1" x14ac:dyDescent="0.25">
      <c r="A136" s="19"/>
      <c r="B136" s="107" t="s">
        <v>590</v>
      </c>
      <c r="C136" s="53" t="s">
        <v>129</v>
      </c>
      <c r="D136" s="53" t="s">
        <v>129</v>
      </c>
      <c r="E136" s="53" t="s">
        <v>607</v>
      </c>
      <c r="F136" s="60"/>
    </row>
    <row r="137" spans="1:6" ht="27.75" customHeight="1" x14ac:dyDescent="0.25">
      <c r="A137" s="19"/>
      <c r="B137" s="107" t="s">
        <v>682</v>
      </c>
      <c r="C137" s="53" t="s">
        <v>129</v>
      </c>
      <c r="D137" s="53" t="s">
        <v>129</v>
      </c>
      <c r="E137" s="53" t="s">
        <v>608</v>
      </c>
      <c r="F137" s="140" t="s">
        <v>683</v>
      </c>
    </row>
    <row r="138" spans="1:6" ht="21.75" customHeight="1" x14ac:dyDescent="0.25">
      <c r="A138" s="19"/>
      <c r="B138" s="107" t="s">
        <v>592</v>
      </c>
      <c r="C138" s="53" t="s">
        <v>129</v>
      </c>
      <c r="D138" s="53" t="s">
        <v>129</v>
      </c>
      <c r="E138" s="53" t="s">
        <v>609</v>
      </c>
      <c r="F138" s="60"/>
    </row>
    <row r="139" spans="1:6" ht="21.75" customHeight="1" x14ac:dyDescent="0.25">
      <c r="A139" s="19"/>
      <c r="B139" s="107" t="s">
        <v>645</v>
      </c>
      <c r="C139" s="53" t="s">
        <v>129</v>
      </c>
      <c r="D139" s="53" t="s">
        <v>129</v>
      </c>
      <c r="E139" s="53" t="s">
        <v>610</v>
      </c>
      <c r="F139" s="60"/>
    </row>
    <row r="140" spans="1:6" ht="34.5" customHeight="1" x14ac:dyDescent="0.25">
      <c r="A140" s="19"/>
      <c r="B140" s="100" t="s">
        <v>704</v>
      </c>
      <c r="C140" s="53" t="s">
        <v>129</v>
      </c>
      <c r="D140" s="49" t="s">
        <v>572</v>
      </c>
      <c r="E140" s="52" t="s">
        <v>129</v>
      </c>
      <c r="F140" s="60"/>
    </row>
    <row r="141" spans="1:6" ht="21.75" customHeight="1" x14ac:dyDescent="0.25">
      <c r="A141" s="19"/>
      <c r="B141" s="107" t="s">
        <v>594</v>
      </c>
      <c r="C141" s="53" t="s">
        <v>129</v>
      </c>
      <c r="D141" s="53" t="s">
        <v>129</v>
      </c>
      <c r="E141" s="53" t="s">
        <v>611</v>
      </c>
      <c r="F141" s="60"/>
    </row>
    <row r="142" spans="1:6" ht="21.75" customHeight="1" x14ac:dyDescent="0.25">
      <c r="A142" s="19"/>
      <c r="B142" s="107" t="s">
        <v>568</v>
      </c>
      <c r="C142" s="53" t="s">
        <v>129</v>
      </c>
      <c r="D142" s="53" t="s">
        <v>129</v>
      </c>
      <c r="E142" s="53" t="s">
        <v>612</v>
      </c>
      <c r="F142" s="60"/>
    </row>
    <row r="143" spans="1:6" ht="21.75" customHeight="1" x14ac:dyDescent="0.25">
      <c r="A143" s="19"/>
      <c r="B143" s="107" t="s">
        <v>573</v>
      </c>
      <c r="C143" s="53" t="s">
        <v>129</v>
      </c>
      <c r="D143" s="53" t="s">
        <v>129</v>
      </c>
      <c r="E143" s="53" t="s">
        <v>613</v>
      </c>
      <c r="F143" s="60"/>
    </row>
    <row r="144" spans="1:6" ht="21.75" customHeight="1" x14ac:dyDescent="0.25">
      <c r="A144" s="16" t="s">
        <v>34</v>
      </c>
      <c r="B144" s="64" t="s">
        <v>39</v>
      </c>
      <c r="C144" s="6"/>
      <c r="D144" s="6"/>
      <c r="E144" s="6"/>
      <c r="F144" s="6"/>
    </row>
    <row r="145" spans="1:6" ht="54" customHeight="1" x14ac:dyDescent="0.25">
      <c r="A145" s="34"/>
      <c r="B145" s="65" t="s">
        <v>585</v>
      </c>
      <c r="C145" s="49"/>
      <c r="D145" s="47" t="s">
        <v>202</v>
      </c>
      <c r="E145" s="47"/>
      <c r="F145" s="56" t="s">
        <v>618</v>
      </c>
    </row>
    <row r="146" spans="1:6" ht="21.75" customHeight="1" x14ac:dyDescent="0.25">
      <c r="A146" s="16" t="s">
        <v>34</v>
      </c>
      <c r="B146" s="64" t="s">
        <v>702</v>
      </c>
      <c r="C146" s="6"/>
      <c r="D146" s="6"/>
      <c r="E146" s="6"/>
      <c r="F146" s="6"/>
    </row>
    <row r="147" spans="1:6" ht="21.75" customHeight="1" x14ac:dyDescent="0.25">
      <c r="A147" s="19"/>
      <c r="B147" s="30" t="s">
        <v>31</v>
      </c>
      <c r="C147" s="192"/>
      <c r="D147" s="192" t="s">
        <v>203</v>
      </c>
      <c r="E147" s="192"/>
      <c r="F147" s="206" t="s">
        <v>646</v>
      </c>
    </row>
    <row r="148" spans="1:6" ht="32.25" customHeight="1" x14ac:dyDescent="0.25">
      <c r="A148" s="19"/>
      <c r="B148" s="30" t="s">
        <v>567</v>
      </c>
      <c r="C148" s="194"/>
      <c r="D148" s="194"/>
      <c r="E148" s="194"/>
      <c r="F148" s="208"/>
    </row>
    <row r="149" spans="1:6" ht="21.75" customHeight="1" x14ac:dyDescent="0.25">
      <c r="A149" s="16" t="s">
        <v>34</v>
      </c>
      <c r="B149" s="64" t="s">
        <v>26</v>
      </c>
      <c r="C149" s="6"/>
      <c r="D149" s="6"/>
      <c r="E149" s="6"/>
      <c r="F149" s="6"/>
    </row>
    <row r="150" spans="1:6" ht="35.25" customHeight="1" x14ac:dyDescent="0.25">
      <c r="A150" s="19"/>
      <c r="B150" s="142" t="s">
        <v>623</v>
      </c>
      <c r="C150" s="56" t="s">
        <v>129</v>
      </c>
      <c r="D150" s="47" t="s">
        <v>204</v>
      </c>
      <c r="E150" s="62" t="s">
        <v>129</v>
      </c>
      <c r="F150" s="140"/>
    </row>
    <row r="151" spans="1:6" ht="21.75" customHeight="1" x14ac:dyDescent="0.25">
      <c r="A151" s="16" t="s">
        <v>34</v>
      </c>
      <c r="B151" s="64" t="s">
        <v>23</v>
      </c>
      <c r="C151" s="6"/>
      <c r="D151" s="6"/>
      <c r="E151" s="6"/>
      <c r="F151" s="6"/>
    </row>
    <row r="152" spans="1:6" ht="18.75" customHeight="1" x14ac:dyDescent="0.25">
      <c r="A152" s="19"/>
      <c r="B152" s="30" t="s">
        <v>27</v>
      </c>
      <c r="C152" s="56" t="s">
        <v>129</v>
      </c>
      <c r="D152" s="47" t="s">
        <v>205</v>
      </c>
      <c r="E152" s="62" t="s">
        <v>129</v>
      </c>
      <c r="F152" s="141" t="s">
        <v>647</v>
      </c>
    </row>
    <row r="153" spans="1:6" ht="21.75" customHeight="1" x14ac:dyDescent="0.25">
      <c r="A153" s="19"/>
      <c r="B153" s="30" t="s">
        <v>620</v>
      </c>
      <c r="C153" s="56" t="s">
        <v>129</v>
      </c>
      <c r="D153" s="47" t="s">
        <v>576</v>
      </c>
      <c r="E153" s="62" t="s">
        <v>129</v>
      </c>
      <c r="F153" s="203" t="s">
        <v>648</v>
      </c>
    </row>
    <row r="154" spans="1:6" ht="21.75" customHeight="1" x14ac:dyDescent="0.25">
      <c r="A154" s="20"/>
      <c r="B154" s="30" t="s">
        <v>28</v>
      </c>
      <c r="C154" s="56" t="s">
        <v>129</v>
      </c>
      <c r="D154" s="47" t="s">
        <v>577</v>
      </c>
      <c r="E154" s="62" t="s">
        <v>129</v>
      </c>
      <c r="F154" s="203"/>
    </row>
    <row r="155" spans="1:6" s="11" customFormat="1" ht="21.75" customHeight="1" x14ac:dyDescent="0.25">
      <c r="A155" s="16" t="s">
        <v>34</v>
      </c>
      <c r="B155" s="6" t="s">
        <v>43</v>
      </c>
      <c r="C155" s="45"/>
      <c r="D155" s="45"/>
      <c r="E155" s="6"/>
      <c r="F155" s="6"/>
    </row>
    <row r="156" spans="1:6" ht="85.5" customHeight="1" x14ac:dyDescent="0.25">
      <c r="A156" s="20"/>
      <c r="B156" s="30" t="s">
        <v>649</v>
      </c>
      <c r="C156" s="49" t="s">
        <v>129</v>
      </c>
      <c r="D156" s="47" t="s">
        <v>575</v>
      </c>
      <c r="E156" s="47" t="s">
        <v>129</v>
      </c>
      <c r="F156" s="60"/>
    </row>
    <row r="157" spans="1:6" s="11" customFormat="1" ht="21.75" customHeight="1" x14ac:dyDescent="0.25">
      <c r="A157" s="16" t="s">
        <v>34</v>
      </c>
      <c r="B157" s="6" t="s">
        <v>578</v>
      </c>
      <c r="C157" s="45"/>
      <c r="D157" s="45"/>
      <c r="E157" s="6"/>
      <c r="F157" s="6"/>
    </row>
    <row r="158" spans="1:6" s="11" customFormat="1" ht="33" customHeight="1" x14ac:dyDescent="0.25">
      <c r="A158" s="34"/>
      <c r="B158" s="30" t="s">
        <v>580</v>
      </c>
      <c r="C158" s="49" t="s">
        <v>129</v>
      </c>
      <c r="D158" s="49" t="s">
        <v>581</v>
      </c>
      <c r="E158" s="49" t="s">
        <v>129</v>
      </c>
      <c r="F158" s="60" t="s">
        <v>129</v>
      </c>
    </row>
    <row r="159" spans="1:6" ht="54.75" customHeight="1" x14ac:dyDescent="0.25">
      <c r="A159" s="20"/>
      <c r="B159" s="30" t="s">
        <v>579</v>
      </c>
      <c r="C159" s="49" t="s">
        <v>129</v>
      </c>
      <c r="D159" s="49" t="s">
        <v>582</v>
      </c>
      <c r="E159" s="49" t="s">
        <v>129</v>
      </c>
      <c r="F159" s="60" t="s">
        <v>129</v>
      </c>
    </row>
    <row r="160" spans="1:6" s="11" customFormat="1" ht="21.75" customHeight="1" x14ac:dyDescent="0.25">
      <c r="A160" s="16" t="s">
        <v>34</v>
      </c>
      <c r="B160" s="6" t="s">
        <v>87</v>
      </c>
      <c r="C160" s="45"/>
      <c r="D160" s="45"/>
      <c r="E160" s="6"/>
      <c r="F160" s="6"/>
    </row>
    <row r="161" spans="1:6" ht="21.75" customHeight="1" x14ac:dyDescent="0.25">
      <c r="A161" s="34"/>
      <c r="B161" s="26" t="s">
        <v>83</v>
      </c>
      <c r="C161" s="49" t="s">
        <v>129</v>
      </c>
      <c r="D161" s="49" t="s">
        <v>129</v>
      </c>
      <c r="E161" s="49" t="s">
        <v>129</v>
      </c>
      <c r="F161" s="56" t="s">
        <v>129</v>
      </c>
    </row>
    <row r="162" spans="1:6" ht="21.75" customHeight="1" x14ac:dyDescent="0.25">
      <c r="A162" s="19"/>
      <c r="B162" s="5" t="s">
        <v>560</v>
      </c>
      <c r="C162" s="49" t="s">
        <v>129</v>
      </c>
      <c r="D162" s="49" t="s">
        <v>129</v>
      </c>
      <c r="E162" s="49" t="s">
        <v>129</v>
      </c>
      <c r="F162" s="56" t="s">
        <v>129</v>
      </c>
    </row>
    <row r="163" spans="1:6" ht="21.75" customHeight="1" x14ac:dyDescent="0.25">
      <c r="A163" s="19"/>
      <c r="B163" s="26" t="s">
        <v>85</v>
      </c>
      <c r="C163" s="49" t="s">
        <v>129</v>
      </c>
      <c r="D163" s="49" t="s">
        <v>129</v>
      </c>
      <c r="E163" s="49" t="s">
        <v>129</v>
      </c>
      <c r="F163" s="56" t="s">
        <v>129</v>
      </c>
    </row>
    <row r="164" spans="1:6" ht="21.75" customHeight="1" x14ac:dyDescent="0.25">
      <c r="A164" s="19"/>
      <c r="B164" s="26" t="s">
        <v>86</v>
      </c>
      <c r="C164" s="49" t="s">
        <v>129</v>
      </c>
      <c r="D164" s="49" t="s">
        <v>129</v>
      </c>
      <c r="E164" s="49" t="s">
        <v>129</v>
      </c>
      <c r="F164" s="56" t="s">
        <v>129</v>
      </c>
    </row>
    <row r="165" spans="1:6" ht="21.75" customHeight="1" x14ac:dyDescent="0.25">
      <c r="A165" s="19"/>
      <c r="B165" s="99" t="s">
        <v>559</v>
      </c>
      <c r="C165" s="49"/>
      <c r="D165" s="53"/>
      <c r="E165" s="96"/>
      <c r="F165" s="56"/>
    </row>
    <row r="166" spans="1:6" s="15" customFormat="1" ht="21" customHeight="1" x14ac:dyDescent="0.25">
      <c r="A166" s="28">
        <v>5</v>
      </c>
      <c r="B166" s="13" t="s">
        <v>36</v>
      </c>
      <c r="C166" s="44"/>
      <c r="D166" s="44"/>
      <c r="E166" s="44"/>
      <c r="F166" s="133" t="s">
        <v>137</v>
      </c>
    </row>
    <row r="167" spans="1:6" s="11" customFormat="1" ht="21.75" customHeight="1" x14ac:dyDescent="0.25">
      <c r="A167" s="16" t="s">
        <v>34</v>
      </c>
      <c r="B167" s="6" t="s">
        <v>30</v>
      </c>
      <c r="C167" s="45"/>
      <c r="D167" s="45"/>
      <c r="E167" s="6"/>
      <c r="F167" s="6"/>
    </row>
    <row r="168" spans="1:6" ht="38.25" customHeight="1" x14ac:dyDescent="0.25">
      <c r="A168" s="19"/>
      <c r="B168" s="30" t="s">
        <v>553</v>
      </c>
      <c r="C168" s="49"/>
      <c r="D168" s="49"/>
      <c r="E168" s="96"/>
      <c r="F168" s="56"/>
    </row>
    <row r="169" spans="1:6" ht="21.75" customHeight="1" x14ac:dyDescent="0.25">
      <c r="A169" s="19"/>
      <c r="B169" s="26" t="s">
        <v>554</v>
      </c>
      <c r="C169" s="49"/>
      <c r="D169" s="49"/>
      <c r="E169" s="96"/>
      <c r="F169" s="56"/>
    </row>
    <row r="170" spans="1:6" ht="21.75" customHeight="1" x14ac:dyDescent="0.25">
      <c r="A170" s="19"/>
      <c r="B170" s="26" t="s">
        <v>555</v>
      </c>
      <c r="C170" s="49"/>
      <c r="D170" s="49"/>
      <c r="E170" s="96"/>
      <c r="F170" s="56"/>
    </row>
    <row r="171" spans="1:6" ht="21.75" customHeight="1" x14ac:dyDescent="0.25">
      <c r="A171" s="19"/>
      <c r="B171" s="99" t="s">
        <v>556</v>
      </c>
      <c r="C171" s="49"/>
      <c r="D171" s="49"/>
      <c r="E171" s="96"/>
      <c r="F171" s="56"/>
    </row>
    <row r="172" spans="1:6" ht="21.75" customHeight="1" x14ac:dyDescent="0.25">
      <c r="A172" s="19"/>
      <c r="B172" s="26" t="s">
        <v>557</v>
      </c>
      <c r="C172" s="49"/>
      <c r="D172" s="49"/>
      <c r="E172" s="96"/>
      <c r="F172" s="56"/>
    </row>
    <row r="173" spans="1:6" ht="34.5" customHeight="1" x14ac:dyDescent="0.25">
      <c r="A173" s="20"/>
      <c r="B173" s="103" t="s">
        <v>558</v>
      </c>
      <c r="C173" s="49"/>
      <c r="D173" s="49"/>
      <c r="E173" s="96"/>
      <c r="F173" s="56"/>
    </row>
    <row r="174" spans="1:6" s="15" customFormat="1" ht="21.75" customHeight="1" x14ac:dyDescent="0.25">
      <c r="A174" s="12">
        <v>6</v>
      </c>
      <c r="B174" s="13" t="s">
        <v>414</v>
      </c>
      <c r="C174" s="44"/>
      <c r="D174" s="44"/>
      <c r="E174" s="44"/>
      <c r="F174" s="133" t="s">
        <v>137</v>
      </c>
    </row>
    <row r="175" spans="1:6" s="11" customFormat="1" ht="21.75" customHeight="1" x14ac:dyDescent="0.25">
      <c r="A175" s="16" t="s">
        <v>34</v>
      </c>
      <c r="B175" s="6" t="s">
        <v>505</v>
      </c>
      <c r="C175" s="45"/>
      <c r="D175" s="45"/>
      <c r="E175" s="6"/>
      <c r="F175" s="6"/>
    </row>
    <row r="176" spans="1:6" ht="21.75" customHeight="1" x14ac:dyDescent="0.25">
      <c r="A176" s="19"/>
      <c r="B176" s="10" t="s">
        <v>507</v>
      </c>
      <c r="C176" s="47"/>
      <c r="D176" s="47"/>
      <c r="E176" s="96"/>
      <c r="F176" s="60"/>
    </row>
    <row r="177" spans="1:6" ht="21.75" customHeight="1" x14ac:dyDescent="0.25">
      <c r="A177" s="19"/>
      <c r="B177" s="26" t="s">
        <v>279</v>
      </c>
      <c r="C177" s="49"/>
      <c r="D177" s="49"/>
      <c r="E177" s="96"/>
      <c r="F177" s="56"/>
    </row>
    <row r="178" spans="1:6" ht="21.75" customHeight="1" x14ac:dyDescent="0.25">
      <c r="A178" s="19"/>
      <c r="B178" s="26" t="s">
        <v>508</v>
      </c>
      <c r="C178" s="49"/>
      <c r="D178" s="49"/>
      <c r="E178" s="96"/>
      <c r="F178" s="56"/>
    </row>
    <row r="179" spans="1:6" ht="21.75" customHeight="1" x14ac:dyDescent="0.25">
      <c r="A179" s="19"/>
      <c r="B179" s="10" t="s">
        <v>509</v>
      </c>
      <c r="C179" s="47"/>
      <c r="D179" s="47"/>
      <c r="E179" s="96"/>
      <c r="F179" s="60"/>
    </row>
    <row r="180" spans="1:6" ht="21.75" customHeight="1" x14ac:dyDescent="0.25">
      <c r="A180" s="19"/>
      <c r="B180" s="10" t="s">
        <v>512</v>
      </c>
      <c r="C180" s="47"/>
      <c r="D180" s="47"/>
      <c r="E180" s="96"/>
      <c r="F180" s="60"/>
    </row>
    <row r="181" spans="1:6" ht="21.75" customHeight="1" x14ac:dyDescent="0.25">
      <c r="A181" s="19"/>
      <c r="B181" s="10" t="s">
        <v>510</v>
      </c>
      <c r="C181" s="49"/>
      <c r="D181" s="49"/>
      <c r="E181" s="96"/>
      <c r="F181" s="56"/>
    </row>
    <row r="182" spans="1:6" ht="21.75" customHeight="1" x14ac:dyDescent="0.25">
      <c r="A182" s="19"/>
      <c r="B182" s="99" t="s">
        <v>511</v>
      </c>
      <c r="C182" s="49"/>
      <c r="D182" s="53"/>
      <c r="E182" s="96"/>
      <c r="F182" s="56"/>
    </row>
    <row r="183" spans="1:6" s="11" customFormat="1" ht="21.75" customHeight="1" x14ac:dyDescent="0.25">
      <c r="A183" s="16" t="s">
        <v>34</v>
      </c>
      <c r="B183" s="6" t="s">
        <v>506</v>
      </c>
      <c r="C183" s="45"/>
      <c r="D183" s="45"/>
      <c r="E183" s="6"/>
      <c r="F183" s="139"/>
    </row>
    <row r="184" spans="1:6" ht="21.75" customHeight="1" x14ac:dyDescent="0.25">
      <c r="A184" s="19"/>
      <c r="B184" s="10" t="s">
        <v>514</v>
      </c>
      <c r="C184" s="47"/>
      <c r="D184" s="47"/>
      <c r="E184" s="96"/>
      <c r="F184" s="60"/>
    </row>
    <row r="185" spans="1:6" ht="21.75" customHeight="1" x14ac:dyDescent="0.25">
      <c r="A185" s="19"/>
      <c r="B185" s="10" t="s">
        <v>641</v>
      </c>
      <c r="C185" s="47"/>
      <c r="D185" s="47"/>
      <c r="E185" s="96"/>
      <c r="F185" s="60"/>
    </row>
    <row r="186" spans="1:6" ht="21.75" customHeight="1" x14ac:dyDescent="0.25">
      <c r="A186" s="19"/>
      <c r="B186" s="10" t="s">
        <v>515</v>
      </c>
      <c r="C186" s="47"/>
      <c r="D186" s="47"/>
      <c r="E186" s="96"/>
      <c r="F186" s="60"/>
    </row>
    <row r="187" spans="1:6" ht="21.75" customHeight="1" x14ac:dyDescent="0.25">
      <c r="A187" s="19"/>
      <c r="B187" s="10" t="s">
        <v>640</v>
      </c>
      <c r="C187" s="47"/>
      <c r="D187" s="47"/>
      <c r="E187" s="96"/>
      <c r="F187" s="60"/>
    </row>
    <row r="188" spans="1:6" ht="21.75" customHeight="1" x14ac:dyDescent="0.25">
      <c r="A188" s="19"/>
      <c r="B188" s="10" t="s">
        <v>513</v>
      </c>
      <c r="C188" s="54"/>
      <c r="D188" s="52"/>
      <c r="E188" s="96"/>
      <c r="F188" s="60"/>
    </row>
    <row r="189" spans="1:6" ht="21.75" customHeight="1" x14ac:dyDescent="0.25">
      <c r="A189" s="19"/>
      <c r="B189" s="99" t="s">
        <v>516</v>
      </c>
      <c r="C189" s="49"/>
      <c r="D189" s="53"/>
      <c r="E189" s="96"/>
      <c r="F189" s="56"/>
    </row>
    <row r="190" spans="1:6" s="11" customFormat="1" ht="21.75" customHeight="1" x14ac:dyDescent="0.25">
      <c r="A190" s="16" t="s">
        <v>34</v>
      </c>
      <c r="B190" s="6" t="s">
        <v>488</v>
      </c>
      <c r="C190" s="45"/>
      <c r="D190" s="45"/>
      <c r="E190" s="6"/>
      <c r="F190" s="139"/>
    </row>
    <row r="191" spans="1:6" s="11" customFormat="1" ht="21.75" customHeight="1" x14ac:dyDescent="0.25">
      <c r="A191" s="34"/>
      <c r="B191" s="101" t="s">
        <v>531</v>
      </c>
      <c r="C191" s="102"/>
      <c r="D191" s="102"/>
      <c r="E191" s="102"/>
      <c r="F191" s="102"/>
    </row>
    <row r="192" spans="1:6" ht="21.75" customHeight="1" x14ac:dyDescent="0.25">
      <c r="A192" s="19"/>
      <c r="B192" s="106" t="s">
        <v>532</v>
      </c>
      <c r="C192" s="47"/>
      <c r="D192" s="47"/>
      <c r="E192" s="96"/>
      <c r="F192" s="60"/>
    </row>
    <row r="193" spans="1:6" ht="21.75" customHeight="1" x14ac:dyDescent="0.25">
      <c r="A193" s="19"/>
      <c r="B193" s="106" t="s">
        <v>533</v>
      </c>
      <c r="C193" s="47"/>
      <c r="D193" s="52"/>
      <c r="E193" s="96"/>
      <c r="F193" s="60"/>
    </row>
    <row r="194" spans="1:6" s="11" customFormat="1" ht="21.75" customHeight="1" x14ac:dyDescent="0.25">
      <c r="A194" s="34"/>
      <c r="B194" s="101" t="s">
        <v>534</v>
      </c>
      <c r="C194" s="102"/>
      <c r="D194" s="102"/>
      <c r="E194" s="102"/>
      <c r="F194" s="102"/>
    </row>
    <row r="195" spans="1:6" ht="21.75" customHeight="1" x14ac:dyDescent="0.25">
      <c r="A195" s="19"/>
      <c r="B195" s="106" t="s">
        <v>535</v>
      </c>
      <c r="C195" s="47"/>
      <c r="D195" s="52"/>
      <c r="E195" s="96"/>
      <c r="F195" s="60"/>
    </row>
    <row r="196" spans="1:6" ht="21.75" customHeight="1" x14ac:dyDescent="0.25">
      <c r="A196" s="19"/>
      <c r="B196" s="106" t="s">
        <v>541</v>
      </c>
      <c r="C196" s="47"/>
      <c r="D196" s="52"/>
      <c r="E196" s="96"/>
      <c r="F196" s="60"/>
    </row>
    <row r="197" spans="1:6" ht="21.75" customHeight="1" x14ac:dyDescent="0.25">
      <c r="A197" s="19"/>
      <c r="B197" s="106" t="s">
        <v>536</v>
      </c>
      <c r="C197" s="47"/>
      <c r="D197" s="52"/>
      <c r="E197" s="96"/>
      <c r="F197" s="60"/>
    </row>
    <row r="198" spans="1:6" ht="21.75" customHeight="1" x14ac:dyDescent="0.25">
      <c r="A198" s="19"/>
      <c r="B198" s="106" t="s">
        <v>537</v>
      </c>
      <c r="C198" s="47"/>
      <c r="D198" s="52"/>
      <c r="E198" s="96"/>
      <c r="F198" s="60"/>
    </row>
    <row r="199" spans="1:6" s="11" customFormat="1" ht="21.75" customHeight="1" x14ac:dyDescent="0.25">
      <c r="A199" s="34"/>
      <c r="B199" s="101" t="s">
        <v>538</v>
      </c>
      <c r="C199" s="102"/>
      <c r="D199" s="102"/>
      <c r="E199" s="102"/>
      <c r="F199" s="102"/>
    </row>
    <row r="200" spans="1:6" ht="21.75" customHeight="1" x14ac:dyDescent="0.25">
      <c r="A200" s="19"/>
      <c r="B200" s="106" t="s">
        <v>535</v>
      </c>
      <c r="C200" s="47"/>
      <c r="D200" s="52"/>
      <c r="E200" s="96"/>
      <c r="F200" s="60"/>
    </row>
    <row r="201" spans="1:6" ht="21.75" customHeight="1" x14ac:dyDescent="0.25">
      <c r="A201" s="19"/>
      <c r="B201" s="106" t="s">
        <v>539</v>
      </c>
      <c r="C201" s="47"/>
      <c r="D201" s="52"/>
      <c r="E201" s="96"/>
      <c r="F201" s="60"/>
    </row>
    <row r="202" spans="1:6" ht="21.75" customHeight="1" x14ac:dyDescent="0.25">
      <c r="A202" s="20"/>
      <c r="B202" s="106" t="s">
        <v>540</v>
      </c>
      <c r="C202" s="47"/>
      <c r="D202" s="47"/>
      <c r="E202" s="96"/>
      <c r="F202" s="60"/>
    </row>
    <row r="203" spans="1:6" s="11" customFormat="1" ht="21.75" customHeight="1" x14ac:dyDescent="0.25">
      <c r="A203" s="113"/>
      <c r="B203" s="101" t="s">
        <v>543</v>
      </c>
      <c r="C203" s="102"/>
      <c r="D203" s="102"/>
      <c r="E203" s="102"/>
      <c r="F203" s="102"/>
    </row>
    <row r="204" spans="1:6" s="11" customFormat="1" ht="21.75" customHeight="1" x14ac:dyDescent="0.25">
      <c r="A204" s="34"/>
      <c r="B204" s="106" t="s">
        <v>545</v>
      </c>
      <c r="C204" s="45"/>
      <c r="D204" s="45"/>
      <c r="E204" s="6"/>
      <c r="F204" s="139"/>
    </row>
    <row r="205" spans="1:6" ht="21.75" customHeight="1" x14ac:dyDescent="0.25">
      <c r="A205" s="19"/>
      <c r="B205" s="106" t="s">
        <v>546</v>
      </c>
      <c r="C205" s="47"/>
      <c r="D205" s="52"/>
      <c r="E205" s="96"/>
      <c r="F205" s="60"/>
    </row>
    <row r="206" spans="1:6" ht="21.75" customHeight="1" x14ac:dyDescent="0.25">
      <c r="A206" s="19"/>
      <c r="B206" s="106" t="s">
        <v>547</v>
      </c>
      <c r="C206" s="47"/>
      <c r="D206" s="52"/>
      <c r="E206" s="96"/>
      <c r="F206" s="60"/>
    </row>
    <row r="207" spans="1:6" s="11" customFormat="1" ht="21.75" customHeight="1" x14ac:dyDescent="0.25">
      <c r="A207" s="34"/>
      <c r="B207" s="101" t="s">
        <v>542</v>
      </c>
      <c r="C207" s="102"/>
      <c r="D207" s="102"/>
      <c r="E207" s="102"/>
      <c r="F207" s="102"/>
    </row>
    <row r="208" spans="1:6" ht="21.75" customHeight="1" x14ac:dyDescent="0.25">
      <c r="A208" s="19"/>
      <c r="B208" s="106" t="s">
        <v>550</v>
      </c>
      <c r="C208" s="47"/>
      <c r="D208" s="52"/>
      <c r="E208" s="96"/>
      <c r="F208" s="60"/>
    </row>
    <row r="209" spans="1:6" ht="21.75" customHeight="1" x14ac:dyDescent="0.25">
      <c r="A209" s="19"/>
      <c r="B209" s="10" t="s">
        <v>530</v>
      </c>
      <c r="C209" s="54"/>
      <c r="D209" s="52"/>
      <c r="E209" s="96"/>
      <c r="F209" s="60"/>
    </row>
    <row r="210" spans="1:6" ht="21.75" customHeight="1" x14ac:dyDescent="0.25">
      <c r="A210" s="19"/>
      <c r="B210" s="99" t="s">
        <v>529</v>
      </c>
      <c r="C210" s="49"/>
      <c r="D210" s="53"/>
      <c r="E210" s="96"/>
      <c r="F210" s="56"/>
    </row>
    <row r="211" spans="1:6" s="15" customFormat="1" ht="21" customHeight="1" x14ac:dyDescent="0.25">
      <c r="A211" s="12">
        <v>7</v>
      </c>
      <c r="B211" s="13" t="s">
        <v>517</v>
      </c>
      <c r="C211" s="44"/>
      <c r="D211" s="44"/>
      <c r="E211" s="44"/>
      <c r="F211" s="133" t="s">
        <v>137</v>
      </c>
    </row>
    <row r="212" spans="1:6" ht="21.75" customHeight="1" x14ac:dyDescent="0.25">
      <c r="A212" s="19"/>
      <c r="B212" s="10" t="s">
        <v>519</v>
      </c>
      <c r="C212" s="49"/>
      <c r="D212" s="49"/>
      <c r="E212" s="96"/>
      <c r="F212" s="56"/>
    </row>
    <row r="213" spans="1:6" ht="21.75" customHeight="1" x14ac:dyDescent="0.25">
      <c r="A213" s="19"/>
      <c r="B213" s="10" t="s">
        <v>520</v>
      </c>
      <c r="C213" s="49"/>
      <c r="D213" s="49"/>
      <c r="E213" s="96"/>
      <c r="F213" s="56" t="s">
        <v>521</v>
      </c>
    </row>
    <row r="214" spans="1:6" ht="21.75" customHeight="1" x14ac:dyDescent="0.25">
      <c r="A214" s="19"/>
      <c r="B214" s="99" t="s">
        <v>522</v>
      </c>
      <c r="C214" s="49"/>
      <c r="D214" s="53"/>
      <c r="E214" s="96"/>
      <c r="F214" s="56"/>
    </row>
    <row r="215" spans="1:6" s="15" customFormat="1" ht="21" customHeight="1" x14ac:dyDescent="0.25">
      <c r="A215" s="12">
        <v>8</v>
      </c>
      <c r="B215" s="13" t="s">
        <v>523</v>
      </c>
      <c r="C215" s="44"/>
      <c r="D215" s="44"/>
      <c r="E215" s="44"/>
      <c r="F215" s="133" t="s">
        <v>137</v>
      </c>
    </row>
    <row r="216" spans="1:6" ht="21.75" customHeight="1" x14ac:dyDescent="0.25">
      <c r="A216" s="19"/>
      <c r="B216" s="26" t="s">
        <v>527</v>
      </c>
      <c r="C216" s="49"/>
      <c r="D216" s="49"/>
      <c r="E216" s="96"/>
      <c r="F216" s="56"/>
    </row>
    <row r="217" spans="1:6" ht="21.75" customHeight="1" x14ac:dyDescent="0.25">
      <c r="A217" s="19"/>
      <c r="B217" s="26" t="s">
        <v>528</v>
      </c>
      <c r="C217" s="49"/>
      <c r="D217" s="49"/>
      <c r="E217" s="96"/>
      <c r="F217" s="56"/>
    </row>
    <row r="218" spans="1:6" ht="21.75" customHeight="1" x14ac:dyDescent="0.25">
      <c r="A218" s="19"/>
      <c r="B218" s="26" t="s">
        <v>526</v>
      </c>
      <c r="C218" s="49"/>
      <c r="D218" s="49"/>
      <c r="E218" s="96"/>
      <c r="F218" s="56"/>
    </row>
    <row r="219" spans="1:6" ht="21.75" customHeight="1" x14ac:dyDescent="0.25">
      <c r="A219" s="19"/>
      <c r="B219" s="10" t="s">
        <v>524</v>
      </c>
      <c r="C219" s="49"/>
      <c r="D219" s="49"/>
      <c r="E219" s="96"/>
      <c r="F219" s="56" t="s">
        <v>521</v>
      </c>
    </row>
    <row r="220" spans="1:6" ht="21.75" customHeight="1" x14ac:dyDescent="0.25">
      <c r="A220" s="19"/>
      <c r="B220" s="99" t="s">
        <v>525</v>
      </c>
      <c r="C220" s="49"/>
      <c r="D220" s="53"/>
      <c r="E220" s="96"/>
      <c r="F220" s="56"/>
    </row>
    <row r="221" spans="1:6" s="15" customFormat="1" ht="21" customHeight="1" x14ac:dyDescent="0.25">
      <c r="A221" s="12"/>
      <c r="B221" s="13" t="s">
        <v>518</v>
      </c>
      <c r="C221" s="44"/>
      <c r="D221" s="44"/>
      <c r="E221" s="44"/>
      <c r="F221" s="133"/>
    </row>
  </sheetData>
  <mergeCells count="27">
    <mergeCell ref="C89:D89"/>
    <mergeCell ref="F68:F69"/>
    <mergeCell ref="E68:E69"/>
    <mergeCell ref="D68:D69"/>
    <mergeCell ref="F65:F67"/>
    <mergeCell ref="A1:F1"/>
    <mergeCell ref="D25:D26"/>
    <mergeCell ref="E25:E26"/>
    <mergeCell ref="F25:F26"/>
    <mergeCell ref="D40:D46"/>
    <mergeCell ref="C65:C67"/>
    <mergeCell ref="E66:E67"/>
    <mergeCell ref="F153:F154"/>
    <mergeCell ref="E86:E87"/>
    <mergeCell ref="F40:F46"/>
    <mergeCell ref="C147:C148"/>
    <mergeCell ref="D147:D148"/>
    <mergeCell ref="E147:E148"/>
    <mergeCell ref="F147:F148"/>
    <mergeCell ref="F58:F59"/>
    <mergeCell ref="D58:D59"/>
    <mergeCell ref="E58:E59"/>
    <mergeCell ref="E40:E46"/>
    <mergeCell ref="D62:D63"/>
    <mergeCell ref="E62:E63"/>
    <mergeCell ref="F62:F63"/>
    <mergeCell ref="D65:D67"/>
  </mergeCells>
  <phoneticPr fontId="21" type="noConversion"/>
  <pageMargins left="0.31496062992125984" right="0.31496062992125984" top="0.35433070866141736" bottom="0.35433070866141736" header="0.31496062992125984" footer="0.31496062992125984"/>
  <pageSetup paperSize="9" scale="77" fitToHeight="8" orientation="landscape" r:id="rId1"/>
  <headerFooter>
    <oddFooter>&amp;LConsultant: Geo Designs &amp; Research pvt. Ltd</oddFooter>
  </headerFooter>
  <rowBreaks count="5" manualBreakCount="5">
    <brk id="32" max="5" man="1"/>
    <brk id="123" max="5" man="1"/>
    <brk id="145" max="5" man="1"/>
    <brk id="165" max="5" man="1"/>
    <brk id="193"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4DD8-5CCD-4929-AD49-523EEFE98CA1}">
  <sheetPr>
    <tabColor rgb="FFFFFF00"/>
  </sheetPr>
  <dimension ref="A1:R201"/>
  <sheetViews>
    <sheetView view="pageBreakPreview" zoomScale="85" zoomScaleNormal="100" zoomScaleSheetLayoutView="85" workbookViewId="0">
      <selection activeCell="C1" sqref="C1:J1"/>
    </sheetView>
  </sheetViews>
  <sheetFormatPr defaultRowHeight="18" x14ac:dyDescent="0.35"/>
  <cols>
    <col min="1" max="1" width="5.85546875" style="145" customWidth="1"/>
    <col min="2" max="2" width="82.140625" style="144" customWidth="1"/>
    <col min="3" max="10" width="10.7109375" style="145" customWidth="1"/>
    <col min="11" max="11" width="11.85546875" style="145" customWidth="1"/>
    <col min="12" max="18" width="10.7109375" style="145" customWidth="1"/>
    <col min="19" max="16384" width="9.140625" style="144"/>
  </cols>
  <sheetData>
    <row r="1" spans="1:18" ht="21" x14ac:dyDescent="0.35">
      <c r="A1" s="218"/>
      <c r="B1" s="219"/>
      <c r="C1" s="219" t="s">
        <v>974</v>
      </c>
      <c r="D1" s="219"/>
      <c r="E1" s="219"/>
      <c r="F1" s="219"/>
      <c r="G1" s="219"/>
      <c r="H1" s="219"/>
      <c r="I1" s="219"/>
      <c r="J1" s="220"/>
      <c r="K1" s="218" t="s">
        <v>974</v>
      </c>
      <c r="L1" s="219"/>
      <c r="M1" s="219"/>
      <c r="N1" s="219"/>
      <c r="O1" s="219"/>
      <c r="P1" s="219"/>
      <c r="Q1" s="219"/>
      <c r="R1" s="220"/>
    </row>
    <row r="2" spans="1:18" x14ac:dyDescent="0.35">
      <c r="B2" s="152" t="s">
        <v>797</v>
      </c>
      <c r="C2" s="151" t="s">
        <v>810</v>
      </c>
      <c r="D2" s="151" t="s">
        <v>809</v>
      </c>
      <c r="E2" s="151" t="s">
        <v>811</v>
      </c>
      <c r="F2" s="151" t="s">
        <v>812</v>
      </c>
      <c r="G2" s="151" t="s">
        <v>813</v>
      </c>
      <c r="H2" s="151" t="s">
        <v>814</v>
      </c>
      <c r="I2" s="151" t="s">
        <v>817</v>
      </c>
      <c r="J2" s="151" t="s">
        <v>818</v>
      </c>
      <c r="K2" s="151" t="s">
        <v>816</v>
      </c>
      <c r="L2" s="151" t="s">
        <v>819</v>
      </c>
      <c r="M2" s="151" t="s">
        <v>820</v>
      </c>
      <c r="N2" s="151" t="s">
        <v>821</v>
      </c>
      <c r="O2" s="151"/>
      <c r="P2" s="151"/>
      <c r="Q2" s="151"/>
      <c r="R2" s="151"/>
    </row>
    <row r="3" spans="1:18" x14ac:dyDescent="0.35">
      <c r="A3" s="146">
        <v>0</v>
      </c>
      <c r="B3" s="215" t="s">
        <v>269</v>
      </c>
      <c r="C3" s="216"/>
      <c r="D3" s="216"/>
      <c r="E3" s="216"/>
      <c r="F3" s="216"/>
      <c r="G3" s="216"/>
      <c r="H3" s="216"/>
      <c r="I3" s="216"/>
      <c r="J3" s="216"/>
      <c r="K3" s="216"/>
      <c r="L3" s="216"/>
      <c r="M3" s="216"/>
      <c r="N3" s="216"/>
      <c r="O3" s="216"/>
      <c r="P3" s="216"/>
      <c r="Q3" s="216"/>
      <c r="R3" s="217"/>
    </row>
    <row r="4" spans="1:18" x14ac:dyDescent="0.35">
      <c r="A4" s="149" t="str">
        <f t="shared" ref="A4:A22" si="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4" s="147" t="s">
        <v>730</v>
      </c>
      <c r="C4" s="147"/>
      <c r="D4" s="147"/>
      <c r="E4" s="147"/>
      <c r="F4" s="147"/>
      <c r="G4" s="147"/>
      <c r="H4" s="147"/>
      <c r="I4" s="147"/>
      <c r="J4" s="147"/>
      <c r="K4" s="147"/>
      <c r="L4" s="147"/>
      <c r="M4" s="147"/>
      <c r="N4" s="147"/>
      <c r="O4" s="147"/>
      <c r="P4" s="147"/>
      <c r="Q4" s="147"/>
      <c r="R4" s="147"/>
    </row>
    <row r="5" spans="1:18" x14ac:dyDescent="0.35">
      <c r="A5" s="149" t="str">
        <f t="shared" si="0"/>
        <v>0.2</v>
      </c>
      <c r="B5" s="147" t="s">
        <v>845</v>
      </c>
      <c r="C5" s="147"/>
      <c r="D5" s="147"/>
      <c r="E5" s="147"/>
      <c r="F5" s="147"/>
      <c r="G5" s="147"/>
      <c r="H5" s="147"/>
      <c r="I5" s="147"/>
      <c r="J5" s="147"/>
      <c r="K5" s="147"/>
      <c r="L5" s="147"/>
      <c r="M5" s="147"/>
      <c r="N5" s="147"/>
      <c r="O5" s="147"/>
      <c r="P5" s="147"/>
      <c r="Q5" s="147"/>
      <c r="R5" s="147"/>
    </row>
    <row r="6" spans="1:18" ht="36" x14ac:dyDescent="0.35">
      <c r="A6" s="149" t="str">
        <f t="shared" si="0"/>
        <v>0.3</v>
      </c>
      <c r="B6" s="147" t="s">
        <v>846</v>
      </c>
      <c r="C6" s="147"/>
      <c r="D6" s="147"/>
      <c r="E6" s="147"/>
      <c r="F6" s="147"/>
      <c r="G6" s="147"/>
      <c r="H6" s="147"/>
      <c r="I6" s="147"/>
      <c r="J6" s="147"/>
      <c r="K6" s="147"/>
      <c r="L6" s="147"/>
      <c r="M6" s="147"/>
      <c r="N6" s="147"/>
      <c r="O6" s="147"/>
      <c r="P6" s="147"/>
      <c r="Q6" s="147"/>
      <c r="R6" s="147"/>
    </row>
    <row r="7" spans="1:18" ht="36" x14ac:dyDescent="0.35">
      <c r="A7" s="149" t="str">
        <f t="shared" si="0"/>
        <v>0.4</v>
      </c>
      <c r="B7" s="147" t="s">
        <v>847</v>
      </c>
      <c r="C7" s="147"/>
      <c r="D7" s="147"/>
      <c r="E7" s="147"/>
      <c r="F7" s="147"/>
      <c r="G7" s="147"/>
      <c r="H7" s="147"/>
      <c r="I7" s="147"/>
      <c r="J7" s="147"/>
      <c r="K7" s="147"/>
      <c r="L7" s="147"/>
      <c r="M7" s="147"/>
      <c r="N7" s="147"/>
      <c r="O7" s="147"/>
      <c r="P7" s="147"/>
      <c r="Q7" s="147"/>
      <c r="R7" s="147"/>
    </row>
    <row r="8" spans="1:18" x14ac:dyDescent="0.35">
      <c r="A8" s="149" t="str">
        <f t="shared" si="0"/>
        <v>0.5</v>
      </c>
      <c r="B8" s="147" t="s">
        <v>437</v>
      </c>
      <c r="C8" s="147"/>
      <c r="D8" s="147"/>
      <c r="E8" s="147"/>
      <c r="F8" s="147"/>
      <c r="G8" s="147"/>
      <c r="H8" s="147"/>
      <c r="I8" s="147"/>
      <c r="J8" s="147"/>
      <c r="K8" s="147"/>
      <c r="L8" s="147"/>
      <c r="M8" s="147"/>
      <c r="N8" s="147"/>
      <c r="O8" s="147"/>
      <c r="P8" s="147"/>
      <c r="Q8" s="147"/>
      <c r="R8" s="147"/>
    </row>
    <row r="9" spans="1:18" x14ac:dyDescent="0.35">
      <c r="A9" s="149" t="str">
        <f t="shared" si="0"/>
        <v>0.6</v>
      </c>
      <c r="B9" s="147" t="s">
        <v>848</v>
      </c>
      <c r="C9" s="147"/>
      <c r="D9" s="147"/>
      <c r="E9" s="147"/>
      <c r="F9" s="147"/>
      <c r="G9" s="147"/>
      <c r="H9" s="147"/>
      <c r="I9" s="147"/>
      <c r="J9" s="147"/>
      <c r="K9" s="147"/>
      <c r="L9" s="147"/>
      <c r="M9" s="147"/>
      <c r="N9" s="147"/>
      <c r="O9" s="147"/>
      <c r="P9" s="147"/>
      <c r="Q9" s="147"/>
      <c r="R9" s="147"/>
    </row>
    <row r="10" spans="1:18" x14ac:dyDescent="0.35">
      <c r="A10" s="149" t="str">
        <f t="shared" si="0"/>
        <v>0.7</v>
      </c>
      <c r="B10" s="147" t="s">
        <v>849</v>
      </c>
      <c r="C10" s="147"/>
      <c r="D10" s="147"/>
      <c r="E10" s="147"/>
      <c r="F10" s="147"/>
      <c r="G10" s="147"/>
      <c r="H10" s="147"/>
      <c r="I10" s="147"/>
      <c r="J10" s="147"/>
      <c r="K10" s="147"/>
      <c r="L10" s="147"/>
      <c r="M10" s="147"/>
      <c r="N10" s="147"/>
      <c r="O10" s="147"/>
      <c r="P10" s="147"/>
      <c r="Q10" s="147"/>
      <c r="R10" s="147"/>
    </row>
    <row r="11" spans="1:18" x14ac:dyDescent="0.35">
      <c r="A11" s="149" t="str">
        <f t="shared" si="0"/>
        <v>0.8</v>
      </c>
      <c r="B11" s="147" t="s">
        <v>850</v>
      </c>
      <c r="C11" s="147"/>
      <c r="D11" s="147"/>
      <c r="E11" s="147"/>
      <c r="F11" s="147"/>
      <c r="G11" s="147"/>
      <c r="H11" s="147"/>
      <c r="I11" s="147"/>
      <c r="J11" s="147"/>
      <c r="K11" s="147"/>
      <c r="L11" s="147"/>
      <c r="M11" s="147"/>
      <c r="N11" s="147"/>
      <c r="O11" s="147"/>
      <c r="P11" s="147"/>
      <c r="Q11" s="147"/>
      <c r="R11" s="147"/>
    </row>
    <row r="12" spans="1:18" x14ac:dyDescent="0.35">
      <c r="A12" s="149" t="str">
        <f t="shared" si="0"/>
        <v>0.9</v>
      </c>
      <c r="B12" s="147" t="s">
        <v>731</v>
      </c>
      <c r="C12" s="147"/>
      <c r="D12" s="147"/>
      <c r="E12" s="147"/>
      <c r="F12" s="147"/>
      <c r="G12" s="147"/>
      <c r="H12" s="147"/>
      <c r="I12" s="147"/>
      <c r="J12" s="147"/>
      <c r="K12" s="147"/>
      <c r="L12" s="147"/>
      <c r="M12" s="147"/>
      <c r="N12" s="147"/>
      <c r="O12" s="147"/>
      <c r="P12" s="147"/>
      <c r="Q12" s="147"/>
      <c r="R12" s="147"/>
    </row>
    <row r="13" spans="1:18" ht="36" x14ac:dyDescent="0.35">
      <c r="A13" s="149" t="str">
        <f t="shared" si="0"/>
        <v>0.10</v>
      </c>
      <c r="B13" s="147" t="s">
        <v>851</v>
      </c>
      <c r="C13" s="147"/>
      <c r="D13" s="147"/>
      <c r="E13" s="147"/>
      <c r="F13" s="147"/>
      <c r="G13" s="147"/>
      <c r="H13" s="147"/>
      <c r="I13" s="147"/>
      <c r="J13" s="147"/>
      <c r="K13" s="147"/>
      <c r="L13" s="147"/>
      <c r="M13" s="147"/>
      <c r="N13" s="147"/>
      <c r="O13" s="147"/>
      <c r="P13" s="147"/>
      <c r="Q13" s="147"/>
      <c r="R13" s="147"/>
    </row>
    <row r="14" spans="1:18" x14ac:dyDescent="0.35">
      <c r="A14" s="149" t="str">
        <f t="shared" si="0"/>
        <v>0.11</v>
      </c>
      <c r="B14" s="147" t="s">
        <v>852</v>
      </c>
      <c r="C14" s="147"/>
      <c r="D14" s="147"/>
      <c r="E14" s="147"/>
      <c r="F14" s="147"/>
      <c r="G14" s="147"/>
      <c r="H14" s="147"/>
      <c r="I14" s="147"/>
      <c r="J14" s="147"/>
      <c r="K14" s="147"/>
      <c r="L14" s="147"/>
      <c r="M14" s="147"/>
      <c r="N14" s="147"/>
      <c r="O14" s="147"/>
      <c r="P14" s="147"/>
      <c r="Q14" s="147"/>
      <c r="R14" s="147"/>
    </row>
    <row r="15" spans="1:18" ht="36" x14ac:dyDescent="0.35">
      <c r="A15" s="149" t="str">
        <f t="shared" si="0"/>
        <v>0.12</v>
      </c>
      <c r="B15" s="147" t="s">
        <v>853</v>
      </c>
      <c r="C15" s="147"/>
      <c r="D15" s="147"/>
      <c r="E15" s="147"/>
      <c r="F15" s="147"/>
      <c r="G15" s="147"/>
      <c r="H15" s="147"/>
      <c r="I15" s="147"/>
      <c r="J15" s="147"/>
      <c r="K15" s="147"/>
      <c r="L15" s="147"/>
      <c r="M15" s="147"/>
      <c r="N15" s="147"/>
      <c r="O15" s="147"/>
      <c r="P15" s="147"/>
      <c r="Q15" s="147"/>
      <c r="R15" s="147"/>
    </row>
    <row r="16" spans="1:18" x14ac:dyDescent="0.35">
      <c r="A16" s="149" t="str">
        <f t="shared" si="0"/>
        <v>0.13</v>
      </c>
      <c r="B16" s="147" t="s">
        <v>854</v>
      </c>
      <c r="C16" s="147"/>
      <c r="D16" s="147"/>
      <c r="E16" s="147"/>
      <c r="F16" s="147"/>
      <c r="G16" s="147"/>
      <c r="H16" s="147"/>
      <c r="I16" s="147"/>
      <c r="J16" s="147"/>
      <c r="K16" s="147"/>
      <c r="L16" s="147"/>
      <c r="M16" s="147"/>
      <c r="N16" s="147"/>
      <c r="O16" s="147"/>
      <c r="P16" s="147"/>
      <c r="Q16" s="147"/>
      <c r="R16" s="147"/>
    </row>
    <row r="17" spans="1:18" x14ac:dyDescent="0.35">
      <c r="A17" s="149" t="str">
        <f t="shared" si="0"/>
        <v>0.14</v>
      </c>
      <c r="B17" s="147" t="s">
        <v>855</v>
      </c>
      <c r="C17" s="147"/>
      <c r="D17" s="147"/>
      <c r="E17" s="147"/>
      <c r="F17" s="147"/>
      <c r="G17" s="147"/>
      <c r="H17" s="147"/>
      <c r="I17" s="147"/>
      <c r="J17" s="147"/>
      <c r="K17" s="147"/>
      <c r="L17" s="147"/>
      <c r="M17" s="147"/>
      <c r="N17" s="147"/>
      <c r="O17" s="147"/>
      <c r="P17" s="147"/>
      <c r="Q17" s="147"/>
      <c r="R17" s="147"/>
    </row>
    <row r="18" spans="1:18" x14ac:dyDescent="0.35">
      <c r="A18" s="149" t="str">
        <f t="shared" si="0"/>
        <v>0.15</v>
      </c>
      <c r="B18" s="147" t="s">
        <v>856</v>
      </c>
      <c r="C18" s="147"/>
      <c r="D18" s="147"/>
      <c r="E18" s="147"/>
      <c r="F18" s="147"/>
      <c r="G18" s="147"/>
      <c r="H18" s="147"/>
      <c r="I18" s="147"/>
      <c r="J18" s="147"/>
      <c r="K18" s="147"/>
      <c r="L18" s="147"/>
      <c r="M18" s="147"/>
      <c r="N18" s="147"/>
      <c r="O18" s="147"/>
      <c r="P18" s="147"/>
      <c r="Q18" s="147"/>
      <c r="R18" s="147"/>
    </row>
    <row r="19" spans="1:18" x14ac:dyDescent="0.35">
      <c r="A19" s="149" t="str">
        <f t="shared" si="0"/>
        <v>0.16</v>
      </c>
      <c r="B19" s="147"/>
      <c r="C19" s="147"/>
      <c r="D19" s="147"/>
      <c r="E19" s="147"/>
      <c r="F19" s="147"/>
      <c r="G19" s="147"/>
      <c r="H19" s="147"/>
      <c r="I19" s="147"/>
      <c r="J19" s="147"/>
      <c r="K19" s="147"/>
      <c r="L19" s="147"/>
      <c r="M19" s="147"/>
      <c r="N19" s="147"/>
      <c r="O19" s="147"/>
      <c r="P19" s="147"/>
      <c r="Q19" s="147"/>
      <c r="R19" s="147"/>
    </row>
    <row r="20" spans="1:18" x14ac:dyDescent="0.35">
      <c r="A20" s="149" t="str">
        <f t="shared" si="0"/>
        <v>0.17</v>
      </c>
      <c r="B20" s="147"/>
      <c r="C20" s="147"/>
      <c r="D20" s="147"/>
      <c r="E20" s="147"/>
      <c r="F20" s="147"/>
      <c r="G20" s="147"/>
      <c r="H20" s="147"/>
      <c r="I20" s="147"/>
      <c r="J20" s="147"/>
      <c r="K20" s="147"/>
      <c r="L20" s="147"/>
      <c r="M20" s="147"/>
      <c r="N20" s="147"/>
      <c r="O20" s="147"/>
      <c r="P20" s="147"/>
      <c r="Q20" s="147"/>
      <c r="R20" s="147"/>
    </row>
    <row r="21" spans="1:18" x14ac:dyDescent="0.35">
      <c r="A21" s="149" t="str">
        <f t="shared" si="0"/>
        <v>0.18</v>
      </c>
      <c r="B21" s="147"/>
      <c r="C21" s="147"/>
      <c r="D21" s="147"/>
      <c r="E21" s="147"/>
      <c r="F21" s="147"/>
      <c r="G21" s="147"/>
      <c r="H21" s="147"/>
      <c r="I21" s="147"/>
      <c r="J21" s="147"/>
      <c r="K21" s="147"/>
      <c r="L21" s="147"/>
      <c r="M21" s="147"/>
      <c r="N21" s="147"/>
      <c r="O21" s="147"/>
      <c r="P21" s="147"/>
      <c r="Q21" s="147"/>
      <c r="R21" s="147"/>
    </row>
    <row r="22" spans="1:18" x14ac:dyDescent="0.35">
      <c r="A22" s="149" t="str">
        <f t="shared" si="0"/>
        <v>0.19</v>
      </c>
      <c r="B22" s="147"/>
      <c r="C22" s="147"/>
      <c r="D22" s="147"/>
      <c r="E22" s="147"/>
      <c r="F22" s="147"/>
      <c r="G22" s="147"/>
      <c r="H22" s="147"/>
      <c r="I22" s="147"/>
      <c r="J22" s="147"/>
      <c r="K22" s="147"/>
      <c r="L22" s="147"/>
      <c r="M22" s="147"/>
      <c r="N22" s="147"/>
      <c r="O22" s="147"/>
      <c r="P22" s="147"/>
      <c r="Q22" s="147"/>
      <c r="R22" s="147"/>
    </row>
    <row r="23" spans="1:18" x14ac:dyDescent="0.35">
      <c r="A23" s="146" t="str">
        <f>IF(ISERROR(VALUE(SUBSTITUTE(prevWBS,".",""))),"1",IF(ISERROR(FIND("`",SUBSTITUTE(prevWBS,".","`",1))),TEXT(VALUE(prevWBS)+1,"#"),TEXT(VALUE(LEFT(prevWBS,FIND("`",SUBSTITUTE(prevWBS,".","`",1))-1))+1,"#")))</f>
        <v>1</v>
      </c>
      <c r="B23" s="215" t="s">
        <v>732</v>
      </c>
      <c r="C23" s="216"/>
      <c r="D23" s="216"/>
      <c r="E23" s="216"/>
      <c r="F23" s="216"/>
      <c r="G23" s="216"/>
      <c r="H23" s="216"/>
      <c r="I23" s="216"/>
      <c r="J23" s="216"/>
      <c r="K23" s="216"/>
      <c r="L23" s="216"/>
      <c r="M23" s="216"/>
      <c r="N23" s="216"/>
      <c r="O23" s="216"/>
      <c r="P23" s="216"/>
      <c r="Q23" s="216"/>
      <c r="R23" s="217"/>
    </row>
    <row r="24" spans="1:18" x14ac:dyDescent="0.35">
      <c r="A24" s="149" t="str">
        <f t="shared" ref="A24:A113" si="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24" s="147" t="s">
        <v>857</v>
      </c>
      <c r="C24" s="147"/>
      <c r="D24" s="147"/>
      <c r="E24" s="147"/>
      <c r="F24" s="147"/>
      <c r="G24" s="147"/>
      <c r="H24" s="147"/>
      <c r="I24" s="147"/>
      <c r="J24" s="147"/>
      <c r="K24" s="147"/>
      <c r="L24" s="147"/>
      <c r="M24" s="147"/>
      <c r="N24" s="147"/>
      <c r="O24" s="147"/>
      <c r="P24" s="147"/>
      <c r="Q24" s="147"/>
      <c r="R24" s="147"/>
    </row>
    <row r="25" spans="1:18" x14ac:dyDescent="0.35">
      <c r="A25" s="149" t="str">
        <f t="shared" si="1"/>
        <v>1.2</v>
      </c>
      <c r="B25" s="147" t="s">
        <v>643</v>
      </c>
      <c r="C25" s="147"/>
      <c r="D25" s="147"/>
      <c r="E25" s="147"/>
      <c r="F25" s="147"/>
      <c r="G25" s="147"/>
      <c r="H25" s="147"/>
      <c r="I25" s="147"/>
      <c r="J25" s="147"/>
      <c r="K25" s="147"/>
      <c r="L25" s="147"/>
      <c r="M25" s="147"/>
      <c r="N25" s="147"/>
      <c r="O25" s="147"/>
      <c r="P25" s="147"/>
      <c r="Q25" s="147"/>
      <c r="R25" s="147"/>
    </row>
    <row r="26" spans="1:18" x14ac:dyDescent="0.35">
      <c r="A26" s="149" t="str">
        <f t="shared" ref="A26:A201" si="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26" s="147" t="s">
        <v>733</v>
      </c>
      <c r="C26" s="147"/>
      <c r="D26" s="147"/>
      <c r="E26" s="147"/>
      <c r="F26" s="147"/>
      <c r="G26" s="147"/>
      <c r="H26" s="147"/>
      <c r="I26" s="147"/>
      <c r="J26" s="147"/>
      <c r="K26" s="147"/>
      <c r="L26" s="147"/>
      <c r="M26" s="147"/>
      <c r="N26" s="147"/>
      <c r="O26" s="147"/>
      <c r="P26" s="147"/>
      <c r="Q26" s="147"/>
      <c r="R26" s="147"/>
    </row>
    <row r="27" spans="1:18" x14ac:dyDescent="0.35">
      <c r="A27" s="149" t="str">
        <f t="shared" si="1"/>
        <v>1.4</v>
      </c>
      <c r="B27" s="147" t="s">
        <v>734</v>
      </c>
      <c r="C27" s="147"/>
      <c r="D27" s="147"/>
      <c r="E27" s="147"/>
      <c r="F27" s="147"/>
      <c r="G27" s="147"/>
      <c r="H27" s="147"/>
      <c r="I27" s="147"/>
      <c r="J27" s="147"/>
      <c r="K27" s="147"/>
      <c r="L27" s="147"/>
      <c r="M27" s="147"/>
      <c r="N27" s="147"/>
      <c r="O27" s="147"/>
      <c r="P27" s="147"/>
      <c r="Q27" s="147"/>
      <c r="R27" s="147"/>
    </row>
    <row r="28" spans="1:18" x14ac:dyDescent="0.35">
      <c r="A28" s="149" t="str">
        <f t="shared" si="2"/>
        <v>1.5</v>
      </c>
      <c r="B28" s="147" t="s">
        <v>735</v>
      </c>
      <c r="C28" s="147"/>
      <c r="D28" s="147"/>
      <c r="E28" s="147"/>
      <c r="F28" s="147"/>
      <c r="G28" s="147"/>
      <c r="H28" s="147"/>
      <c r="I28" s="147"/>
      <c r="J28" s="147"/>
      <c r="K28" s="147"/>
      <c r="L28" s="147"/>
      <c r="M28" s="147"/>
      <c r="N28" s="147"/>
      <c r="O28" s="147"/>
      <c r="P28" s="147"/>
      <c r="Q28" s="147"/>
      <c r="R28" s="147"/>
    </row>
    <row r="29" spans="1:18" x14ac:dyDescent="0.35">
      <c r="A29" s="149" t="str">
        <f t="shared" si="2"/>
        <v>1.6</v>
      </c>
      <c r="B29" s="147" t="s">
        <v>971</v>
      </c>
      <c r="C29" s="147"/>
      <c r="D29" s="147"/>
      <c r="E29" s="147"/>
      <c r="F29" s="147"/>
      <c r="G29" s="147"/>
      <c r="H29" s="147"/>
      <c r="I29" s="147"/>
      <c r="J29" s="147"/>
      <c r="K29" s="147"/>
      <c r="L29" s="147"/>
      <c r="M29" s="147"/>
      <c r="N29" s="147"/>
      <c r="O29" s="147"/>
      <c r="P29" s="147"/>
      <c r="Q29" s="147"/>
      <c r="R29" s="147"/>
    </row>
    <row r="30" spans="1:18" x14ac:dyDescent="0.35">
      <c r="A30" s="149" t="str">
        <f t="shared" si="2"/>
        <v>1.7</v>
      </c>
      <c r="B30" s="147" t="s">
        <v>736</v>
      </c>
      <c r="C30" s="147"/>
      <c r="D30" s="147"/>
      <c r="E30" s="147"/>
      <c r="F30" s="147"/>
      <c r="G30" s="147"/>
      <c r="H30" s="147"/>
      <c r="I30" s="147"/>
      <c r="J30" s="147"/>
      <c r="K30" s="147"/>
      <c r="L30" s="147"/>
      <c r="M30" s="147"/>
      <c r="N30" s="147"/>
      <c r="O30" s="147"/>
      <c r="P30" s="147"/>
      <c r="Q30" s="147"/>
      <c r="R30" s="147"/>
    </row>
    <row r="31" spans="1:18" x14ac:dyDescent="0.35">
      <c r="A31" s="149" t="str">
        <f t="shared" si="2"/>
        <v>1.8</v>
      </c>
      <c r="B31" s="147" t="s">
        <v>737</v>
      </c>
      <c r="C31" s="147"/>
      <c r="D31" s="147"/>
      <c r="E31" s="147"/>
      <c r="F31" s="147"/>
      <c r="G31" s="147"/>
      <c r="H31" s="147"/>
      <c r="I31" s="147"/>
      <c r="J31" s="147"/>
      <c r="K31" s="147"/>
      <c r="L31" s="147"/>
      <c r="M31" s="147"/>
      <c r="N31" s="147"/>
      <c r="O31" s="147"/>
      <c r="P31" s="147"/>
      <c r="Q31" s="147"/>
      <c r="R31" s="147"/>
    </row>
    <row r="32" spans="1:18" x14ac:dyDescent="0.35">
      <c r="A32" s="149" t="str">
        <f t="shared" si="2"/>
        <v>1.9</v>
      </c>
      <c r="B32" s="147" t="s">
        <v>692</v>
      </c>
      <c r="C32" s="147"/>
      <c r="D32" s="147"/>
      <c r="E32" s="147"/>
      <c r="F32" s="147"/>
      <c r="G32" s="147"/>
      <c r="H32" s="147"/>
      <c r="I32" s="147"/>
      <c r="J32" s="147"/>
      <c r="K32" s="147"/>
      <c r="L32" s="147"/>
      <c r="M32" s="147"/>
      <c r="N32" s="147"/>
      <c r="O32" s="147"/>
      <c r="P32" s="147"/>
      <c r="Q32" s="147"/>
      <c r="R32" s="147"/>
    </row>
    <row r="33" spans="1:18" x14ac:dyDescent="0.35">
      <c r="A33" s="146" t="str">
        <f>IF(ISERROR(VALUE(SUBSTITUTE(prevWBS,".",""))),"1",IF(ISERROR(FIND("`",SUBSTITUTE(prevWBS,".","`",1))),TEXT(VALUE(prevWBS)+1,"#"),TEXT(VALUE(LEFT(prevWBS,FIND("`",SUBSTITUTE(prevWBS,".","`",1))-1))+1,"#")))</f>
        <v>2</v>
      </c>
      <c r="B33" s="215" t="s">
        <v>973</v>
      </c>
      <c r="C33" s="216"/>
      <c r="D33" s="216"/>
      <c r="E33" s="216"/>
      <c r="F33" s="216"/>
      <c r="G33" s="216"/>
      <c r="H33" s="216"/>
      <c r="I33" s="216"/>
      <c r="J33" s="216"/>
      <c r="K33" s="216"/>
      <c r="L33" s="216"/>
      <c r="M33" s="216"/>
      <c r="N33" s="216"/>
      <c r="O33" s="216"/>
      <c r="P33" s="216"/>
      <c r="Q33" s="216"/>
      <c r="R33" s="217"/>
    </row>
    <row r="34" spans="1:18" x14ac:dyDescent="0.35">
      <c r="A34" s="221" t="str">
        <f t="shared" si="1"/>
        <v>2.1</v>
      </c>
      <c r="B34" s="147" t="s">
        <v>858</v>
      </c>
      <c r="C34" s="147"/>
      <c r="D34" s="147"/>
      <c r="E34" s="147"/>
      <c r="F34" s="147"/>
      <c r="G34" s="147"/>
      <c r="H34" s="147"/>
      <c r="I34" s="147"/>
      <c r="J34" s="147"/>
      <c r="K34" s="147"/>
      <c r="L34" s="147"/>
      <c r="M34" s="147"/>
      <c r="N34" s="147"/>
      <c r="O34" s="147"/>
      <c r="P34" s="147"/>
      <c r="Q34" s="147"/>
      <c r="R34" s="147"/>
    </row>
    <row r="35" spans="1:18" x14ac:dyDescent="0.35">
      <c r="A35" s="222"/>
      <c r="B35" s="153" t="s">
        <v>1</v>
      </c>
      <c r="C35" s="147"/>
      <c r="D35" s="147"/>
      <c r="E35" s="147"/>
      <c r="F35" s="147"/>
      <c r="G35" s="147"/>
      <c r="H35" s="147"/>
      <c r="I35" s="147"/>
      <c r="J35" s="147"/>
      <c r="K35" s="147"/>
      <c r="L35" s="147"/>
      <c r="M35" s="147"/>
      <c r="N35" s="147"/>
      <c r="O35" s="147"/>
      <c r="P35" s="147"/>
      <c r="Q35" s="147"/>
      <c r="R35" s="147"/>
    </row>
    <row r="36" spans="1:18" x14ac:dyDescent="0.35">
      <c r="A36" s="222"/>
      <c r="B36" s="153" t="s">
        <v>3</v>
      </c>
      <c r="C36" s="147"/>
      <c r="D36" s="147"/>
      <c r="E36" s="147"/>
      <c r="F36" s="147"/>
      <c r="G36" s="147"/>
      <c r="H36" s="147"/>
      <c r="I36" s="147"/>
      <c r="J36" s="147"/>
      <c r="K36" s="147"/>
      <c r="L36" s="147"/>
      <c r="M36" s="147"/>
      <c r="N36" s="147"/>
      <c r="O36" s="147"/>
      <c r="P36" s="147"/>
      <c r="Q36" s="147"/>
      <c r="R36" s="147"/>
    </row>
    <row r="37" spans="1:18" x14ac:dyDescent="0.35">
      <c r="A37" s="222"/>
      <c r="B37" s="153" t="s">
        <v>2</v>
      </c>
      <c r="C37" s="147"/>
      <c r="D37" s="147"/>
      <c r="E37" s="147"/>
      <c r="F37" s="147"/>
      <c r="G37" s="147"/>
      <c r="H37" s="147"/>
      <c r="I37" s="147"/>
      <c r="J37" s="147"/>
      <c r="K37" s="147"/>
      <c r="L37" s="147"/>
      <c r="M37" s="147"/>
      <c r="N37" s="147"/>
      <c r="O37" s="147"/>
      <c r="P37" s="147"/>
      <c r="Q37" s="147"/>
      <c r="R37" s="147"/>
    </row>
    <row r="38" spans="1:18" x14ac:dyDescent="0.35">
      <c r="A38" s="222"/>
      <c r="B38" s="153" t="s">
        <v>6</v>
      </c>
      <c r="C38" s="147"/>
      <c r="D38" s="147"/>
      <c r="E38" s="147"/>
      <c r="F38" s="147"/>
      <c r="G38" s="147"/>
      <c r="H38" s="147"/>
      <c r="I38" s="147"/>
      <c r="J38" s="147"/>
      <c r="K38" s="147"/>
      <c r="L38" s="147"/>
      <c r="M38" s="147"/>
      <c r="N38" s="147"/>
      <c r="O38" s="147"/>
      <c r="P38" s="147"/>
      <c r="Q38" s="147"/>
      <c r="R38" s="147"/>
    </row>
    <row r="39" spans="1:18" x14ac:dyDescent="0.35">
      <c r="A39" s="223"/>
      <c r="B39" s="153" t="s">
        <v>4</v>
      </c>
      <c r="C39" s="147"/>
      <c r="D39" s="147"/>
      <c r="E39" s="147"/>
      <c r="F39" s="147"/>
      <c r="G39" s="147"/>
      <c r="H39" s="147"/>
      <c r="I39" s="147"/>
      <c r="J39" s="147"/>
      <c r="K39" s="147"/>
      <c r="L39" s="147"/>
      <c r="M39" s="147"/>
      <c r="N39" s="147"/>
      <c r="O39" s="147"/>
      <c r="P39" s="147"/>
      <c r="Q39" s="147"/>
      <c r="R39" s="147"/>
    </row>
    <row r="40" spans="1:18" x14ac:dyDescent="0.35">
      <c r="A40" s="149">
        <f>+A34+0.1</f>
        <v>2.2000000000000002</v>
      </c>
      <c r="B40" s="147" t="s">
        <v>679</v>
      </c>
      <c r="C40" s="147"/>
      <c r="D40" s="147"/>
      <c r="E40" s="147"/>
      <c r="F40" s="147"/>
      <c r="G40" s="147"/>
      <c r="H40" s="147"/>
      <c r="I40" s="147"/>
      <c r="J40" s="147"/>
      <c r="K40" s="147"/>
      <c r="L40" s="147"/>
      <c r="M40" s="147"/>
      <c r="N40" s="147"/>
      <c r="O40" s="147"/>
      <c r="P40" s="147"/>
      <c r="Q40" s="147"/>
      <c r="R40" s="147"/>
    </row>
    <row r="41" spans="1:18" x14ac:dyDescent="0.35">
      <c r="A41" s="149" t="str">
        <f t="shared" si="1"/>
        <v>2.3</v>
      </c>
      <c r="B41" s="147" t="s">
        <v>972</v>
      </c>
      <c r="C41" s="147"/>
      <c r="D41" s="147"/>
      <c r="E41" s="147"/>
      <c r="F41" s="147"/>
      <c r="G41" s="147"/>
      <c r="H41" s="147"/>
      <c r="I41" s="147"/>
      <c r="J41" s="147"/>
      <c r="K41" s="147"/>
      <c r="L41" s="147"/>
      <c r="M41" s="147"/>
      <c r="N41" s="147"/>
      <c r="O41" s="147"/>
      <c r="P41" s="147"/>
      <c r="Q41" s="147"/>
      <c r="R41" s="147"/>
    </row>
    <row r="42" spans="1:18" x14ac:dyDescent="0.35">
      <c r="A42" s="149" t="str">
        <f t="shared" si="1"/>
        <v>2.4</v>
      </c>
      <c r="B42" s="147" t="s">
        <v>461</v>
      </c>
      <c r="C42" s="147"/>
      <c r="D42" s="147"/>
      <c r="E42" s="147"/>
      <c r="F42" s="147"/>
      <c r="G42" s="147"/>
      <c r="H42" s="147"/>
      <c r="I42" s="147"/>
      <c r="J42" s="147"/>
      <c r="K42" s="147"/>
      <c r="L42" s="147"/>
      <c r="M42" s="147"/>
      <c r="N42" s="147"/>
      <c r="O42" s="147"/>
      <c r="P42" s="147"/>
      <c r="Q42" s="147"/>
      <c r="R42" s="147"/>
    </row>
    <row r="43" spans="1:18" x14ac:dyDescent="0.35">
      <c r="A43" s="149" t="str">
        <f t="shared" si="1"/>
        <v>2.5</v>
      </c>
      <c r="B43" s="147" t="s">
        <v>738</v>
      </c>
      <c r="C43" s="147"/>
      <c r="D43" s="147"/>
      <c r="E43" s="147"/>
      <c r="F43" s="147"/>
      <c r="G43" s="147"/>
      <c r="H43" s="147"/>
      <c r="I43" s="147"/>
      <c r="J43" s="147"/>
      <c r="K43" s="147"/>
      <c r="L43" s="147"/>
      <c r="M43" s="147"/>
      <c r="N43" s="147"/>
      <c r="O43" s="147"/>
      <c r="P43" s="147"/>
      <c r="Q43" s="147"/>
      <c r="R43" s="147"/>
    </row>
    <row r="44" spans="1:18" x14ac:dyDescent="0.35">
      <c r="A44" s="149" t="str">
        <f t="shared" si="1"/>
        <v>2.6</v>
      </c>
      <c r="B44" s="147" t="s">
        <v>859</v>
      </c>
      <c r="C44" s="147"/>
      <c r="D44" s="147"/>
      <c r="E44" s="147"/>
      <c r="F44" s="147"/>
      <c r="G44" s="147"/>
      <c r="H44" s="147"/>
      <c r="I44" s="147"/>
      <c r="J44" s="147"/>
      <c r="K44" s="147"/>
      <c r="L44" s="147"/>
      <c r="M44" s="147"/>
      <c r="N44" s="147"/>
      <c r="O44" s="147"/>
      <c r="P44" s="147"/>
      <c r="Q44" s="147"/>
      <c r="R44" s="147"/>
    </row>
    <row r="45" spans="1:18" ht="36" x14ac:dyDescent="0.35">
      <c r="A45" s="149" t="str">
        <f t="shared" si="1"/>
        <v>2.7</v>
      </c>
      <c r="B45" s="147" t="s">
        <v>739</v>
      </c>
      <c r="C45" s="147"/>
      <c r="D45" s="147"/>
      <c r="E45" s="147"/>
      <c r="F45" s="147"/>
      <c r="G45" s="147"/>
      <c r="H45" s="147"/>
      <c r="I45" s="147"/>
      <c r="J45" s="147"/>
      <c r="K45" s="147"/>
      <c r="L45" s="147"/>
      <c r="M45" s="147"/>
      <c r="N45" s="147"/>
      <c r="O45" s="147"/>
      <c r="P45" s="147"/>
      <c r="Q45" s="147"/>
      <c r="R45" s="147"/>
    </row>
    <row r="46" spans="1:18" ht="36" x14ac:dyDescent="0.35">
      <c r="A46" s="149" t="str">
        <f t="shared" si="1"/>
        <v>2.8</v>
      </c>
      <c r="B46" s="147" t="s">
        <v>842</v>
      </c>
      <c r="C46" s="147"/>
      <c r="D46" s="147"/>
      <c r="E46" s="147"/>
      <c r="F46" s="147"/>
      <c r="G46" s="147"/>
      <c r="H46" s="147"/>
      <c r="I46" s="147"/>
      <c r="J46" s="147"/>
      <c r="K46" s="147"/>
      <c r="L46" s="147"/>
      <c r="M46" s="147"/>
      <c r="N46" s="147"/>
      <c r="O46" s="147"/>
      <c r="P46" s="147"/>
      <c r="Q46" s="147"/>
      <c r="R46" s="147"/>
    </row>
    <row r="47" spans="1:18" ht="36" x14ac:dyDescent="0.35">
      <c r="A47" s="149" t="str">
        <f t="shared" si="1"/>
        <v>2.9</v>
      </c>
      <c r="B47" s="147" t="s">
        <v>740</v>
      </c>
      <c r="C47" s="147"/>
      <c r="D47" s="147"/>
      <c r="E47" s="147"/>
      <c r="F47" s="147"/>
      <c r="G47" s="147"/>
      <c r="H47" s="147"/>
      <c r="I47" s="147"/>
      <c r="J47" s="147"/>
      <c r="K47" s="147"/>
      <c r="L47" s="147"/>
      <c r="M47" s="147"/>
      <c r="N47" s="147"/>
      <c r="O47" s="147"/>
      <c r="P47" s="147"/>
      <c r="Q47" s="147"/>
      <c r="R47" s="147"/>
    </row>
    <row r="48" spans="1:18" x14ac:dyDescent="0.35">
      <c r="A48" s="149" t="str">
        <f t="shared" si="1"/>
        <v>2.10</v>
      </c>
      <c r="B48" s="147" t="s">
        <v>741</v>
      </c>
      <c r="C48" s="147"/>
      <c r="D48" s="147"/>
      <c r="E48" s="147"/>
      <c r="F48" s="147"/>
      <c r="G48" s="147"/>
      <c r="H48" s="147"/>
      <c r="I48" s="147"/>
      <c r="J48" s="147"/>
      <c r="K48" s="147"/>
      <c r="L48" s="147"/>
      <c r="M48" s="147"/>
      <c r="N48" s="147"/>
      <c r="O48" s="147"/>
      <c r="P48" s="147"/>
      <c r="Q48" s="147"/>
      <c r="R48" s="147"/>
    </row>
    <row r="49" spans="1:18" x14ac:dyDescent="0.35">
      <c r="A49" s="149" t="str">
        <f t="shared" si="1"/>
        <v>2.11</v>
      </c>
      <c r="B49" s="147" t="s">
        <v>742</v>
      </c>
      <c r="C49" s="147"/>
      <c r="D49" s="147"/>
      <c r="E49" s="147"/>
      <c r="F49" s="147"/>
      <c r="G49" s="147"/>
      <c r="H49" s="147"/>
      <c r="I49" s="147"/>
      <c r="J49" s="147"/>
      <c r="K49" s="147"/>
      <c r="L49" s="147"/>
      <c r="M49" s="147"/>
      <c r="N49" s="147"/>
      <c r="O49" s="147"/>
      <c r="P49" s="147"/>
      <c r="Q49" s="147"/>
      <c r="R49" s="147"/>
    </row>
    <row r="50" spans="1:18" x14ac:dyDescent="0.35">
      <c r="A50" s="149" t="str">
        <f t="shared" si="1"/>
        <v>2.12</v>
      </c>
      <c r="B50" s="147" t="s">
        <v>743</v>
      </c>
      <c r="C50" s="147"/>
      <c r="D50" s="147"/>
      <c r="E50" s="147"/>
      <c r="F50" s="147"/>
      <c r="G50" s="147"/>
      <c r="H50" s="147"/>
      <c r="I50" s="147"/>
      <c r="J50" s="147"/>
      <c r="K50" s="147"/>
      <c r="L50" s="147"/>
      <c r="M50" s="147"/>
      <c r="N50" s="147"/>
      <c r="O50" s="147"/>
      <c r="P50" s="147"/>
      <c r="Q50" s="147"/>
      <c r="R50" s="147"/>
    </row>
    <row r="51" spans="1:18" x14ac:dyDescent="0.35">
      <c r="A51" s="149" t="str">
        <f t="shared" si="1"/>
        <v>2.13</v>
      </c>
      <c r="B51" s="147" t="s">
        <v>463</v>
      </c>
      <c r="C51" s="147"/>
      <c r="D51" s="147"/>
      <c r="E51" s="147"/>
      <c r="F51" s="147"/>
      <c r="G51" s="147"/>
      <c r="H51" s="147"/>
      <c r="I51" s="147"/>
      <c r="J51" s="147"/>
      <c r="K51" s="147"/>
      <c r="L51" s="147"/>
      <c r="M51" s="147"/>
      <c r="N51" s="147"/>
      <c r="O51" s="147"/>
      <c r="P51" s="147"/>
      <c r="Q51" s="147"/>
      <c r="R51" s="147"/>
    </row>
    <row r="52" spans="1:18" x14ac:dyDescent="0.35">
      <c r="A52" s="149" t="str">
        <f t="shared" si="1"/>
        <v>2.14</v>
      </c>
      <c r="B52" s="147" t="s">
        <v>73</v>
      </c>
      <c r="C52" s="147"/>
      <c r="D52" s="147"/>
      <c r="E52" s="147"/>
      <c r="F52" s="147"/>
      <c r="G52" s="147"/>
      <c r="H52" s="147"/>
      <c r="I52" s="147"/>
      <c r="J52" s="147"/>
      <c r="K52" s="147"/>
      <c r="L52" s="147"/>
      <c r="M52" s="147"/>
      <c r="N52" s="147"/>
      <c r="O52" s="147"/>
      <c r="P52" s="147"/>
      <c r="Q52" s="147"/>
      <c r="R52" s="147"/>
    </row>
    <row r="53" spans="1:18" x14ac:dyDescent="0.35">
      <c r="A53" s="149" t="str">
        <f t="shared" si="1"/>
        <v>2.15</v>
      </c>
      <c r="B53" s="147" t="s">
        <v>959</v>
      </c>
      <c r="C53" s="147"/>
      <c r="D53" s="147"/>
      <c r="E53" s="147"/>
      <c r="F53" s="147"/>
      <c r="G53" s="147"/>
      <c r="H53" s="147"/>
      <c r="I53" s="147"/>
      <c r="J53" s="147"/>
      <c r="K53" s="147"/>
      <c r="L53" s="147"/>
      <c r="M53" s="147"/>
      <c r="N53" s="147"/>
      <c r="O53" s="147"/>
      <c r="P53" s="147"/>
      <c r="Q53" s="147"/>
      <c r="R53" s="147"/>
    </row>
    <row r="54" spans="1:18" ht="36" x14ac:dyDescent="0.35">
      <c r="A54" s="149" t="str">
        <f t="shared" si="1"/>
        <v>2.16</v>
      </c>
      <c r="B54" s="147" t="s">
        <v>745</v>
      </c>
      <c r="C54" s="147"/>
      <c r="D54" s="147"/>
      <c r="E54" s="147"/>
      <c r="F54" s="147"/>
      <c r="G54" s="147"/>
      <c r="H54" s="147"/>
      <c r="I54" s="147"/>
      <c r="J54" s="147"/>
      <c r="K54" s="147"/>
      <c r="L54" s="147"/>
      <c r="M54" s="147"/>
      <c r="N54" s="147"/>
      <c r="O54" s="147"/>
      <c r="P54" s="147"/>
      <c r="Q54" s="147"/>
      <c r="R54" s="147"/>
    </row>
    <row r="55" spans="1:18" x14ac:dyDescent="0.35">
      <c r="A55" s="149" t="str">
        <f t="shared" si="1"/>
        <v>2.17</v>
      </c>
      <c r="B55" s="147" t="s">
        <v>960</v>
      </c>
      <c r="C55" s="147"/>
      <c r="D55" s="147"/>
      <c r="E55" s="147"/>
      <c r="F55" s="147"/>
      <c r="G55" s="147"/>
      <c r="H55" s="147"/>
      <c r="I55" s="147"/>
      <c r="J55" s="147"/>
      <c r="K55" s="147"/>
      <c r="L55" s="147"/>
      <c r="M55" s="147"/>
      <c r="N55" s="147"/>
      <c r="O55" s="147"/>
      <c r="P55" s="147"/>
      <c r="Q55" s="147"/>
      <c r="R55" s="147"/>
    </row>
    <row r="56" spans="1:18" x14ac:dyDescent="0.35">
      <c r="A56" s="149" t="str">
        <f t="shared" si="1"/>
        <v>2.18</v>
      </c>
      <c r="B56" s="147" t="s">
        <v>961</v>
      </c>
      <c r="C56" s="147"/>
      <c r="D56" s="147"/>
      <c r="E56" s="147"/>
      <c r="F56" s="147"/>
      <c r="G56" s="147"/>
      <c r="H56" s="147"/>
      <c r="I56" s="147"/>
      <c r="J56" s="147"/>
      <c r="K56" s="147"/>
      <c r="L56" s="147"/>
      <c r="M56" s="147"/>
      <c r="N56" s="147"/>
      <c r="O56" s="147"/>
      <c r="P56" s="147"/>
      <c r="Q56" s="147"/>
      <c r="R56" s="147"/>
    </row>
    <row r="57" spans="1:18" ht="36" x14ac:dyDescent="0.35">
      <c r="A57" s="149" t="str">
        <f t="shared" si="1"/>
        <v>2.19</v>
      </c>
      <c r="B57" s="147" t="s">
        <v>746</v>
      </c>
      <c r="C57" s="147"/>
      <c r="D57" s="147"/>
      <c r="E57" s="147"/>
      <c r="F57" s="147"/>
      <c r="G57" s="147"/>
      <c r="H57" s="147"/>
      <c r="I57" s="147"/>
      <c r="J57" s="147"/>
      <c r="K57" s="147"/>
      <c r="L57" s="147"/>
      <c r="M57" s="147"/>
      <c r="N57" s="147"/>
      <c r="O57" s="147"/>
      <c r="P57" s="147"/>
      <c r="Q57" s="147"/>
      <c r="R57" s="147"/>
    </row>
    <row r="58" spans="1:18" x14ac:dyDescent="0.35">
      <c r="A58" s="149" t="str">
        <f t="shared" si="1"/>
        <v>2.20</v>
      </c>
      <c r="B58" s="147" t="s">
        <v>962</v>
      </c>
      <c r="C58" s="147"/>
      <c r="D58" s="147"/>
      <c r="E58" s="147"/>
      <c r="F58" s="147"/>
      <c r="G58" s="147"/>
      <c r="H58" s="147"/>
      <c r="I58" s="147"/>
      <c r="J58" s="147"/>
      <c r="K58" s="147"/>
      <c r="L58" s="147"/>
      <c r="M58" s="147"/>
      <c r="N58" s="147"/>
      <c r="O58" s="147"/>
      <c r="P58" s="147"/>
      <c r="Q58" s="147"/>
      <c r="R58" s="147"/>
    </row>
    <row r="59" spans="1:18" ht="36" x14ac:dyDescent="0.35">
      <c r="A59" s="149" t="str">
        <f t="shared" si="1"/>
        <v>2.21</v>
      </c>
      <c r="B59" s="147" t="s">
        <v>963</v>
      </c>
      <c r="C59" s="147"/>
      <c r="D59" s="147"/>
      <c r="E59" s="147"/>
      <c r="F59" s="147"/>
      <c r="G59" s="147"/>
      <c r="H59" s="147"/>
      <c r="I59" s="147"/>
      <c r="J59" s="147"/>
      <c r="K59" s="147"/>
      <c r="L59" s="147"/>
      <c r="M59" s="147"/>
      <c r="N59" s="147"/>
      <c r="O59" s="147"/>
      <c r="P59" s="147"/>
      <c r="Q59" s="147"/>
      <c r="R59" s="147"/>
    </row>
    <row r="60" spans="1:18" ht="36" x14ac:dyDescent="0.35">
      <c r="A60" s="149" t="str">
        <f t="shared" si="1"/>
        <v>2.22</v>
      </c>
      <c r="B60" s="147" t="s">
        <v>964</v>
      </c>
      <c r="C60" s="147"/>
      <c r="D60" s="147"/>
      <c r="E60" s="147"/>
      <c r="F60" s="147"/>
      <c r="G60" s="147"/>
      <c r="H60" s="147"/>
      <c r="I60" s="147"/>
      <c r="J60" s="147"/>
      <c r="K60" s="147"/>
      <c r="L60" s="147"/>
      <c r="M60" s="147"/>
      <c r="N60" s="147"/>
      <c r="O60" s="147"/>
      <c r="P60" s="147"/>
      <c r="Q60" s="147"/>
      <c r="R60" s="147"/>
    </row>
    <row r="61" spans="1:18" x14ac:dyDescent="0.35">
      <c r="A61" s="149" t="str">
        <f t="shared" si="1"/>
        <v>2.23</v>
      </c>
      <c r="B61" s="147" t="s">
        <v>747</v>
      </c>
      <c r="C61" s="147"/>
      <c r="D61" s="147"/>
      <c r="E61" s="147"/>
      <c r="F61" s="147"/>
      <c r="G61" s="147"/>
      <c r="H61" s="147"/>
      <c r="I61" s="147"/>
      <c r="J61" s="147"/>
      <c r="K61" s="147"/>
      <c r="L61" s="147"/>
      <c r="M61" s="147"/>
      <c r="N61" s="147"/>
      <c r="O61" s="147"/>
      <c r="P61" s="147"/>
      <c r="Q61" s="147"/>
      <c r="R61" s="147"/>
    </row>
    <row r="62" spans="1:18" x14ac:dyDescent="0.35">
      <c r="A62" s="149" t="str">
        <f t="shared" si="1"/>
        <v>2.24</v>
      </c>
      <c r="B62" s="147" t="s">
        <v>453</v>
      </c>
      <c r="C62" s="147"/>
      <c r="D62" s="147"/>
      <c r="E62" s="147"/>
      <c r="F62" s="147"/>
      <c r="G62" s="147"/>
      <c r="H62" s="147"/>
      <c r="I62" s="147"/>
      <c r="J62" s="147"/>
      <c r="K62" s="147"/>
      <c r="L62" s="147"/>
      <c r="M62" s="147"/>
      <c r="N62" s="147"/>
      <c r="O62" s="147"/>
      <c r="P62" s="147"/>
      <c r="Q62" s="147"/>
      <c r="R62" s="147"/>
    </row>
    <row r="63" spans="1:18" x14ac:dyDescent="0.35">
      <c r="A63" s="149" t="str">
        <f t="shared" si="1"/>
        <v>2.25</v>
      </c>
      <c r="B63" s="147" t="s">
        <v>69</v>
      </c>
      <c r="C63" s="147"/>
      <c r="D63" s="147"/>
      <c r="E63" s="147"/>
      <c r="F63" s="147"/>
      <c r="G63" s="147"/>
      <c r="H63" s="147"/>
      <c r="I63" s="147"/>
      <c r="J63" s="147"/>
      <c r="K63" s="147"/>
      <c r="L63" s="147"/>
      <c r="M63" s="147"/>
      <c r="N63" s="147"/>
      <c r="O63" s="147"/>
      <c r="P63" s="147"/>
      <c r="Q63" s="147"/>
      <c r="R63" s="147"/>
    </row>
    <row r="64" spans="1:18" x14ac:dyDescent="0.35">
      <c r="A64" s="146" t="str">
        <f>IF(ISERROR(VALUE(SUBSTITUTE(prevWBS,".",""))),"1",IF(ISERROR(FIND("`",SUBSTITUTE(prevWBS,".","`",1))),TEXT(VALUE(prevWBS)+1,"#"),TEXT(VALUE(LEFT(prevWBS,FIND("`",SUBSTITUTE(prevWBS,".","`",1))-1))+1,"#")))</f>
        <v>3</v>
      </c>
      <c r="B64" s="215" t="s">
        <v>748</v>
      </c>
      <c r="C64" s="216"/>
      <c r="D64" s="216"/>
      <c r="E64" s="216"/>
      <c r="F64" s="216"/>
      <c r="G64" s="216"/>
      <c r="H64" s="216"/>
      <c r="I64" s="216"/>
      <c r="J64" s="216"/>
      <c r="K64" s="216"/>
      <c r="L64" s="216"/>
      <c r="M64" s="216"/>
      <c r="N64" s="216"/>
      <c r="O64" s="216"/>
      <c r="P64" s="216"/>
      <c r="Q64" s="216"/>
      <c r="R64" s="217"/>
    </row>
    <row r="65" spans="1:18" x14ac:dyDescent="0.35">
      <c r="A65" s="150" t="str">
        <f t="shared" si="1"/>
        <v>3.1</v>
      </c>
      <c r="B65" s="148" t="s">
        <v>749</v>
      </c>
      <c r="C65" s="147"/>
      <c r="D65" s="147"/>
      <c r="E65" s="147"/>
      <c r="F65" s="147"/>
      <c r="G65" s="147"/>
      <c r="H65" s="147"/>
      <c r="I65" s="147"/>
      <c r="J65" s="147"/>
      <c r="K65" s="147"/>
      <c r="L65" s="147"/>
      <c r="M65" s="147"/>
      <c r="N65" s="147"/>
      <c r="O65" s="147"/>
      <c r="P65" s="147"/>
      <c r="Q65" s="147"/>
      <c r="R65" s="147"/>
    </row>
    <row r="66" spans="1:18" x14ac:dyDescent="0.35">
      <c r="A66" s="149" t="str">
        <f t="shared" si="1"/>
        <v>3.2</v>
      </c>
      <c r="B66" s="147" t="s">
        <v>750</v>
      </c>
      <c r="C66" s="147"/>
      <c r="D66" s="147"/>
      <c r="E66" s="147"/>
      <c r="F66" s="147"/>
      <c r="G66" s="147"/>
      <c r="H66" s="147"/>
      <c r="I66" s="147"/>
      <c r="J66" s="147"/>
      <c r="K66" s="147"/>
      <c r="L66" s="147"/>
      <c r="M66" s="147"/>
      <c r="N66" s="147"/>
      <c r="O66" s="147"/>
      <c r="P66" s="147"/>
      <c r="Q66" s="147"/>
      <c r="R66" s="147"/>
    </row>
    <row r="67" spans="1:18" x14ac:dyDescent="0.35">
      <c r="A67" s="149" t="str">
        <f t="shared" si="1"/>
        <v>3.3</v>
      </c>
      <c r="B67" s="147" t="s">
        <v>751</v>
      </c>
      <c r="C67" s="147"/>
      <c r="D67" s="147"/>
      <c r="E67" s="147"/>
      <c r="F67" s="147"/>
      <c r="G67" s="147"/>
      <c r="H67" s="147"/>
      <c r="I67" s="147"/>
      <c r="J67" s="147"/>
      <c r="K67" s="147"/>
      <c r="L67" s="147"/>
      <c r="M67" s="147"/>
      <c r="N67" s="147"/>
      <c r="O67" s="147"/>
      <c r="P67" s="147"/>
      <c r="Q67" s="147"/>
      <c r="R67" s="147"/>
    </row>
    <row r="68" spans="1:18" x14ac:dyDescent="0.35">
      <c r="A68" s="149" t="str">
        <f t="shared" si="1"/>
        <v>3.4</v>
      </c>
      <c r="B68" s="147" t="s">
        <v>752</v>
      </c>
      <c r="C68" s="147"/>
      <c r="D68" s="147"/>
      <c r="E68" s="147"/>
      <c r="F68" s="147"/>
      <c r="G68" s="147"/>
      <c r="H68" s="147"/>
      <c r="I68" s="147"/>
      <c r="J68" s="147"/>
      <c r="K68" s="147"/>
      <c r="L68" s="147"/>
      <c r="M68" s="147"/>
      <c r="N68" s="147"/>
      <c r="O68" s="147"/>
      <c r="P68" s="147"/>
      <c r="Q68" s="147"/>
      <c r="R68" s="147"/>
    </row>
    <row r="69" spans="1:18" x14ac:dyDescent="0.35">
      <c r="A69" s="149" t="str">
        <f t="shared" si="1"/>
        <v>3.5</v>
      </c>
      <c r="B69" s="147" t="s">
        <v>753</v>
      </c>
      <c r="C69" s="147"/>
      <c r="D69" s="147"/>
      <c r="E69" s="147"/>
      <c r="F69" s="147"/>
      <c r="G69" s="147"/>
      <c r="H69" s="147"/>
      <c r="I69" s="147"/>
      <c r="J69" s="147"/>
      <c r="K69" s="147"/>
      <c r="L69" s="147"/>
      <c r="M69" s="147"/>
      <c r="N69" s="147"/>
      <c r="O69" s="147"/>
      <c r="P69" s="147"/>
      <c r="Q69" s="147"/>
      <c r="R69" s="147"/>
    </row>
    <row r="70" spans="1:18" x14ac:dyDescent="0.35">
      <c r="A70" s="149" t="str">
        <f t="shared" si="1"/>
        <v>3.6</v>
      </c>
      <c r="B70" s="147" t="s">
        <v>754</v>
      </c>
      <c r="C70" s="147"/>
      <c r="D70" s="147"/>
      <c r="E70" s="147"/>
      <c r="F70" s="147"/>
      <c r="G70" s="147"/>
      <c r="H70" s="147"/>
      <c r="I70" s="147"/>
      <c r="J70" s="147"/>
      <c r="K70" s="147"/>
      <c r="L70" s="147"/>
      <c r="M70" s="147"/>
      <c r="N70" s="147"/>
      <c r="O70" s="147"/>
      <c r="P70" s="147"/>
      <c r="Q70" s="147"/>
      <c r="R70" s="147"/>
    </row>
    <row r="71" spans="1:18" x14ac:dyDescent="0.35">
      <c r="A71" s="149" t="str">
        <f t="shared" si="1"/>
        <v>3.7</v>
      </c>
      <c r="B71" s="147" t="s">
        <v>755</v>
      </c>
      <c r="C71" s="147"/>
      <c r="D71" s="147"/>
      <c r="E71" s="147"/>
      <c r="F71" s="147"/>
      <c r="G71" s="147"/>
      <c r="H71" s="147"/>
      <c r="I71" s="147"/>
      <c r="J71" s="147"/>
      <c r="K71" s="147"/>
      <c r="L71" s="147"/>
      <c r="M71" s="147"/>
      <c r="N71" s="147"/>
      <c r="O71" s="147"/>
      <c r="P71" s="147"/>
      <c r="Q71" s="147"/>
      <c r="R71" s="147"/>
    </row>
    <row r="72" spans="1:18" x14ac:dyDescent="0.35">
      <c r="A72" s="149" t="str">
        <f t="shared" si="1"/>
        <v>3.8</v>
      </c>
      <c r="B72" s="147" t="s">
        <v>756</v>
      </c>
      <c r="C72" s="147"/>
      <c r="D72" s="147"/>
      <c r="E72" s="147"/>
      <c r="F72" s="147"/>
      <c r="G72" s="147"/>
      <c r="H72" s="147"/>
      <c r="I72" s="147"/>
      <c r="J72" s="147"/>
      <c r="K72" s="147"/>
      <c r="L72" s="147"/>
      <c r="M72" s="147"/>
      <c r="N72" s="147"/>
      <c r="O72" s="147"/>
      <c r="P72" s="147"/>
      <c r="Q72" s="147"/>
      <c r="R72" s="147"/>
    </row>
    <row r="73" spans="1:18" x14ac:dyDescent="0.35">
      <c r="A73" s="149" t="str">
        <f t="shared" si="1"/>
        <v>3.9</v>
      </c>
      <c r="B73" s="147" t="s">
        <v>757</v>
      </c>
      <c r="C73" s="147"/>
      <c r="D73" s="147"/>
      <c r="E73" s="147"/>
      <c r="F73" s="147"/>
      <c r="G73" s="147"/>
      <c r="H73" s="147"/>
      <c r="I73" s="147"/>
      <c r="J73" s="147"/>
      <c r="K73" s="147"/>
      <c r="L73" s="147"/>
      <c r="M73" s="147"/>
      <c r="N73" s="147"/>
      <c r="O73" s="147"/>
      <c r="P73" s="147"/>
      <c r="Q73" s="147"/>
      <c r="R73" s="147"/>
    </row>
    <row r="74" spans="1:18" x14ac:dyDescent="0.35">
      <c r="A74" s="150" t="str">
        <f t="shared" si="1"/>
        <v>3.10</v>
      </c>
      <c r="B74" s="148" t="s">
        <v>758</v>
      </c>
      <c r="C74" s="147"/>
      <c r="D74" s="147"/>
      <c r="E74" s="147"/>
      <c r="F74" s="147"/>
      <c r="G74" s="147"/>
      <c r="H74" s="147"/>
      <c r="I74" s="147"/>
      <c r="J74" s="147"/>
      <c r="K74" s="147"/>
      <c r="L74" s="147"/>
      <c r="M74" s="147"/>
      <c r="N74" s="147"/>
      <c r="O74" s="147"/>
      <c r="P74" s="147"/>
      <c r="Q74" s="147"/>
      <c r="R74" s="147"/>
    </row>
    <row r="75" spans="1:18" x14ac:dyDescent="0.35">
      <c r="A75" s="14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3.11</v>
      </c>
      <c r="B75" s="147" t="s">
        <v>801</v>
      </c>
      <c r="C75" s="147"/>
      <c r="D75" s="147"/>
      <c r="E75" s="147"/>
      <c r="F75" s="147"/>
      <c r="G75" s="147"/>
      <c r="H75" s="147"/>
      <c r="I75" s="147"/>
      <c r="J75" s="147"/>
      <c r="K75" s="147"/>
      <c r="L75" s="147"/>
      <c r="M75" s="147"/>
      <c r="N75" s="147"/>
      <c r="O75" s="147"/>
      <c r="P75" s="147"/>
      <c r="Q75" s="147"/>
      <c r="R75" s="147"/>
    </row>
    <row r="76" spans="1:18" x14ac:dyDescent="0.35">
      <c r="A76" s="14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3.12</v>
      </c>
      <c r="B76" s="147" t="s">
        <v>965</v>
      </c>
      <c r="C76" s="147"/>
      <c r="D76" s="147"/>
      <c r="E76" s="147"/>
      <c r="F76" s="147"/>
      <c r="G76" s="147"/>
      <c r="H76" s="147"/>
      <c r="I76" s="147"/>
      <c r="J76" s="147"/>
      <c r="K76" s="147"/>
      <c r="L76" s="147"/>
      <c r="M76" s="147"/>
      <c r="N76" s="147"/>
      <c r="O76" s="147"/>
      <c r="P76" s="147"/>
      <c r="Q76" s="147"/>
      <c r="R76" s="147"/>
    </row>
    <row r="77" spans="1:18" x14ac:dyDescent="0.35">
      <c r="A77" s="149" t="str">
        <f t="shared" si="1"/>
        <v>3.13</v>
      </c>
      <c r="B77" s="147" t="s">
        <v>759</v>
      </c>
      <c r="C77" s="147"/>
      <c r="D77" s="147"/>
      <c r="E77" s="147"/>
      <c r="F77" s="147"/>
      <c r="G77" s="147"/>
      <c r="H77" s="147"/>
      <c r="I77" s="147"/>
      <c r="J77" s="147"/>
      <c r="K77" s="147"/>
      <c r="L77" s="147"/>
      <c r="M77" s="147"/>
      <c r="N77" s="147"/>
      <c r="O77" s="147"/>
      <c r="P77" s="147"/>
      <c r="Q77" s="147"/>
      <c r="R77" s="147"/>
    </row>
    <row r="78" spans="1:18" x14ac:dyDescent="0.35">
      <c r="A78" s="149" t="str">
        <f t="shared" si="1"/>
        <v>3.14</v>
      </c>
      <c r="B78" s="147" t="s">
        <v>497</v>
      </c>
      <c r="C78" s="147"/>
      <c r="D78" s="147"/>
      <c r="E78" s="147"/>
      <c r="F78" s="147"/>
      <c r="G78" s="147"/>
      <c r="H78" s="147"/>
      <c r="I78" s="147"/>
      <c r="J78" s="147"/>
      <c r="K78" s="147"/>
      <c r="L78" s="147"/>
      <c r="M78" s="147"/>
      <c r="N78" s="147"/>
      <c r="O78" s="147"/>
      <c r="P78" s="147"/>
      <c r="Q78" s="147"/>
      <c r="R78" s="147"/>
    </row>
    <row r="79" spans="1:18" x14ac:dyDescent="0.35">
      <c r="A79" s="149" t="str">
        <f t="shared" si="1"/>
        <v>3.15</v>
      </c>
      <c r="B79" s="147" t="s">
        <v>865</v>
      </c>
      <c r="C79" s="147"/>
      <c r="D79" s="147"/>
      <c r="E79" s="147"/>
      <c r="F79" s="147"/>
      <c r="G79" s="147"/>
      <c r="H79" s="147"/>
      <c r="I79" s="147"/>
      <c r="J79" s="147"/>
      <c r="K79" s="147"/>
      <c r="L79" s="147"/>
      <c r="M79" s="147"/>
      <c r="N79" s="147"/>
      <c r="O79" s="147"/>
      <c r="P79" s="147"/>
      <c r="Q79" s="147"/>
      <c r="R79" s="147"/>
    </row>
    <row r="80" spans="1:18" x14ac:dyDescent="0.35">
      <c r="A80" s="149" t="str">
        <f t="shared" si="1"/>
        <v>3.16</v>
      </c>
      <c r="B80" s="147" t="s">
        <v>866</v>
      </c>
      <c r="C80" s="147"/>
      <c r="D80" s="147"/>
      <c r="E80" s="147"/>
      <c r="F80" s="147"/>
      <c r="G80" s="147"/>
      <c r="H80" s="147"/>
      <c r="I80" s="147"/>
      <c r="J80" s="147"/>
      <c r="K80" s="147"/>
      <c r="L80" s="147"/>
      <c r="M80" s="147"/>
      <c r="N80" s="147"/>
      <c r="O80" s="147"/>
      <c r="P80" s="147"/>
      <c r="Q80" s="147"/>
      <c r="R80" s="147"/>
    </row>
    <row r="81" spans="1:18" x14ac:dyDescent="0.35">
      <c r="A81" s="149" t="str">
        <f t="shared" si="1"/>
        <v>3.17</v>
      </c>
      <c r="B81" s="147" t="s">
        <v>867</v>
      </c>
      <c r="C81" s="147"/>
      <c r="D81" s="147"/>
      <c r="E81" s="147"/>
      <c r="F81" s="147"/>
      <c r="G81" s="147"/>
      <c r="H81" s="147"/>
      <c r="I81" s="147"/>
      <c r="J81" s="147"/>
      <c r="K81" s="147"/>
      <c r="L81" s="147"/>
      <c r="M81" s="147"/>
      <c r="N81" s="147"/>
      <c r="O81" s="147"/>
      <c r="P81" s="147"/>
      <c r="Q81" s="147"/>
      <c r="R81" s="147"/>
    </row>
    <row r="82" spans="1:18" x14ac:dyDescent="0.35">
      <c r="A82" s="149" t="str">
        <f t="shared" si="1"/>
        <v>3.18</v>
      </c>
      <c r="B82" s="147" t="s">
        <v>868</v>
      </c>
      <c r="C82" s="147"/>
      <c r="D82" s="147"/>
      <c r="E82" s="147"/>
      <c r="F82" s="147"/>
      <c r="G82" s="147"/>
      <c r="H82" s="147"/>
      <c r="I82" s="147"/>
      <c r="J82" s="147"/>
      <c r="K82" s="147"/>
      <c r="L82" s="147"/>
      <c r="M82" s="147"/>
      <c r="N82" s="147"/>
      <c r="O82" s="147"/>
      <c r="P82" s="147"/>
      <c r="Q82" s="147"/>
      <c r="R82" s="147"/>
    </row>
    <row r="83" spans="1:18" x14ac:dyDescent="0.35">
      <c r="A83" s="149" t="str">
        <f t="shared" si="1"/>
        <v>3.19</v>
      </c>
      <c r="B83" s="147" t="s">
        <v>869</v>
      </c>
      <c r="C83" s="147"/>
      <c r="D83" s="147"/>
      <c r="E83" s="147"/>
      <c r="F83" s="147"/>
      <c r="G83" s="147"/>
      <c r="H83" s="147"/>
      <c r="I83" s="147"/>
      <c r="J83" s="147"/>
      <c r="K83" s="147"/>
      <c r="L83" s="147"/>
      <c r="M83" s="147"/>
      <c r="N83" s="147"/>
      <c r="O83" s="147"/>
      <c r="P83" s="147"/>
      <c r="Q83" s="147"/>
      <c r="R83" s="147"/>
    </row>
    <row r="84" spans="1:18" x14ac:dyDescent="0.35">
      <c r="A84" s="149" t="str">
        <f t="shared" si="1"/>
        <v>3.20</v>
      </c>
      <c r="B84" s="147" t="s">
        <v>870</v>
      </c>
      <c r="C84" s="147"/>
      <c r="D84" s="147"/>
      <c r="E84" s="147"/>
      <c r="F84" s="147"/>
      <c r="G84" s="147"/>
      <c r="H84" s="147"/>
      <c r="I84" s="147"/>
      <c r="J84" s="147"/>
      <c r="K84" s="147"/>
      <c r="L84" s="147"/>
      <c r="M84" s="147"/>
      <c r="N84" s="147"/>
      <c r="O84" s="147"/>
      <c r="P84" s="147"/>
      <c r="Q84" s="147"/>
      <c r="R84" s="147"/>
    </row>
    <row r="85" spans="1:18" x14ac:dyDescent="0.35">
      <c r="A85" s="149" t="str">
        <f t="shared" si="1"/>
        <v>3.21</v>
      </c>
      <c r="B85" s="147" t="s">
        <v>871</v>
      </c>
      <c r="C85" s="147"/>
      <c r="D85" s="147"/>
      <c r="E85" s="147"/>
      <c r="F85" s="147"/>
      <c r="G85" s="147"/>
      <c r="H85" s="147"/>
      <c r="I85" s="147"/>
      <c r="J85" s="147"/>
      <c r="K85" s="147"/>
      <c r="L85" s="147"/>
      <c r="M85" s="147"/>
      <c r="N85" s="147"/>
      <c r="O85" s="147"/>
      <c r="P85" s="147"/>
      <c r="Q85" s="147"/>
      <c r="R85" s="147"/>
    </row>
    <row r="86" spans="1:18" x14ac:dyDescent="0.35">
      <c r="A86" s="149" t="str">
        <f t="shared" si="1"/>
        <v>3.22</v>
      </c>
      <c r="B86" s="147" t="s">
        <v>872</v>
      </c>
      <c r="C86" s="147"/>
      <c r="D86" s="147"/>
      <c r="E86" s="147"/>
      <c r="F86" s="147"/>
      <c r="G86" s="147"/>
      <c r="H86" s="147"/>
      <c r="I86" s="147"/>
      <c r="J86" s="147"/>
      <c r="K86" s="147"/>
      <c r="L86" s="147"/>
      <c r="M86" s="147"/>
      <c r="N86" s="147"/>
      <c r="O86" s="147"/>
      <c r="P86" s="147"/>
      <c r="Q86" s="147"/>
      <c r="R86" s="147"/>
    </row>
    <row r="87" spans="1:18" x14ac:dyDescent="0.35">
      <c r="A87" s="149" t="str">
        <f t="shared" si="1"/>
        <v>3.23</v>
      </c>
      <c r="B87" s="147" t="s">
        <v>873</v>
      </c>
      <c r="C87" s="147"/>
      <c r="D87" s="147"/>
      <c r="E87" s="147"/>
      <c r="F87" s="147"/>
      <c r="G87" s="147"/>
      <c r="H87" s="147"/>
      <c r="I87" s="147"/>
      <c r="J87" s="147"/>
      <c r="K87" s="147"/>
      <c r="L87" s="147"/>
      <c r="M87" s="147"/>
      <c r="N87" s="147"/>
      <c r="O87" s="147"/>
      <c r="P87" s="147"/>
      <c r="Q87" s="147"/>
      <c r="R87" s="147"/>
    </row>
    <row r="88" spans="1:18" x14ac:dyDescent="0.35">
      <c r="A88" s="149" t="str">
        <f t="shared" si="1"/>
        <v>3.24</v>
      </c>
      <c r="B88" s="147" t="s">
        <v>874</v>
      </c>
      <c r="C88" s="147"/>
      <c r="D88" s="147"/>
      <c r="E88" s="147"/>
      <c r="F88" s="147"/>
      <c r="G88" s="147"/>
      <c r="H88" s="147"/>
      <c r="I88" s="147"/>
      <c r="J88" s="147"/>
      <c r="K88" s="147"/>
      <c r="L88" s="147"/>
      <c r="M88" s="147"/>
      <c r="N88" s="147"/>
      <c r="O88" s="147"/>
      <c r="P88" s="147"/>
      <c r="Q88" s="147"/>
      <c r="R88" s="147"/>
    </row>
    <row r="89" spans="1:18" x14ac:dyDescent="0.35">
      <c r="A89" s="149" t="str">
        <f t="shared" si="1"/>
        <v>3.25</v>
      </c>
      <c r="B89" s="147" t="s">
        <v>875</v>
      </c>
      <c r="C89" s="147"/>
      <c r="D89" s="147"/>
      <c r="E89" s="147"/>
      <c r="F89" s="147"/>
      <c r="G89" s="147"/>
      <c r="H89" s="147"/>
      <c r="I89" s="147"/>
      <c r="J89" s="147"/>
      <c r="K89" s="147"/>
      <c r="L89" s="147"/>
      <c r="M89" s="147"/>
      <c r="N89" s="147"/>
      <c r="O89" s="147"/>
      <c r="P89" s="147"/>
      <c r="Q89" s="147"/>
      <c r="R89" s="147"/>
    </row>
    <row r="90" spans="1:18" x14ac:dyDescent="0.35">
      <c r="A90" s="149" t="str">
        <f t="shared" si="1"/>
        <v>3.26</v>
      </c>
      <c r="B90" s="147" t="s">
        <v>876</v>
      </c>
      <c r="C90" s="147"/>
      <c r="D90" s="147"/>
      <c r="E90" s="147"/>
      <c r="F90" s="147"/>
      <c r="G90" s="147"/>
      <c r="H90" s="147"/>
      <c r="I90" s="147"/>
      <c r="J90" s="147"/>
      <c r="K90" s="147"/>
      <c r="L90" s="147"/>
      <c r="M90" s="147"/>
      <c r="N90" s="147"/>
      <c r="O90" s="147"/>
      <c r="P90" s="147"/>
      <c r="Q90" s="147"/>
      <c r="R90" s="147"/>
    </row>
    <row r="91" spans="1:18" x14ac:dyDescent="0.35">
      <c r="A91" s="149" t="str">
        <f t="shared" si="1"/>
        <v>3.27</v>
      </c>
      <c r="B91" s="147" t="s">
        <v>877</v>
      </c>
      <c r="C91" s="147"/>
      <c r="D91" s="147"/>
      <c r="E91" s="147"/>
      <c r="F91" s="147"/>
      <c r="G91" s="147"/>
      <c r="H91" s="147"/>
      <c r="I91" s="147"/>
      <c r="J91" s="147"/>
      <c r="K91" s="147"/>
      <c r="L91" s="147"/>
      <c r="M91" s="147"/>
      <c r="N91" s="147"/>
      <c r="O91" s="147"/>
      <c r="P91" s="147"/>
      <c r="Q91" s="147"/>
      <c r="R91" s="147"/>
    </row>
    <row r="92" spans="1:18" x14ac:dyDescent="0.35">
      <c r="A92" s="149" t="str">
        <f t="shared" si="1"/>
        <v>3.28</v>
      </c>
      <c r="B92" s="147" t="s">
        <v>878</v>
      </c>
      <c r="C92" s="147"/>
      <c r="D92" s="147"/>
      <c r="E92" s="147"/>
      <c r="F92" s="147"/>
      <c r="G92" s="147"/>
      <c r="H92" s="147"/>
      <c r="I92" s="147"/>
      <c r="J92" s="147"/>
      <c r="K92" s="147"/>
      <c r="L92" s="147"/>
      <c r="M92" s="147"/>
      <c r="N92" s="147"/>
      <c r="O92" s="147"/>
      <c r="P92" s="147"/>
      <c r="Q92" s="147"/>
      <c r="R92" s="147"/>
    </row>
    <row r="93" spans="1:18" x14ac:dyDescent="0.35">
      <c r="A93" s="149" t="str">
        <f t="shared" si="1"/>
        <v>3.29</v>
      </c>
      <c r="B93" s="147" t="s">
        <v>969</v>
      </c>
      <c r="C93" s="147"/>
      <c r="D93" s="147"/>
      <c r="E93" s="147"/>
      <c r="F93" s="147"/>
      <c r="G93" s="147"/>
      <c r="H93" s="147"/>
      <c r="I93" s="147"/>
      <c r="J93" s="147"/>
      <c r="K93" s="147"/>
      <c r="L93" s="147"/>
      <c r="M93" s="147"/>
      <c r="N93" s="147"/>
      <c r="O93" s="147"/>
      <c r="P93" s="147"/>
      <c r="Q93" s="147"/>
      <c r="R93" s="147"/>
    </row>
    <row r="94" spans="1:18" x14ac:dyDescent="0.35">
      <c r="A94" s="150" t="str">
        <f t="shared" si="1"/>
        <v>3.30</v>
      </c>
      <c r="B94" s="148" t="s">
        <v>760</v>
      </c>
      <c r="C94" s="147"/>
      <c r="D94" s="147"/>
      <c r="E94" s="147"/>
      <c r="F94" s="147"/>
      <c r="G94" s="147"/>
      <c r="H94" s="147"/>
      <c r="I94" s="147"/>
      <c r="J94" s="147"/>
      <c r="K94" s="147"/>
      <c r="L94" s="147"/>
      <c r="M94" s="147"/>
      <c r="N94" s="147"/>
      <c r="O94" s="147"/>
      <c r="P94" s="147"/>
      <c r="Q94" s="147"/>
      <c r="R94" s="147"/>
    </row>
    <row r="95" spans="1:18" x14ac:dyDescent="0.35">
      <c r="A95" s="14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3.31</v>
      </c>
      <c r="B95" s="147" t="s">
        <v>798</v>
      </c>
      <c r="C95" s="147"/>
      <c r="D95" s="147"/>
      <c r="E95" s="147"/>
      <c r="F95" s="147"/>
      <c r="G95" s="147"/>
      <c r="H95" s="147"/>
      <c r="I95" s="147"/>
      <c r="J95" s="147"/>
      <c r="K95" s="147"/>
      <c r="L95" s="147"/>
      <c r="M95" s="147"/>
      <c r="N95" s="147"/>
      <c r="O95" s="147"/>
      <c r="P95" s="147"/>
      <c r="Q95" s="147"/>
      <c r="R95" s="147"/>
    </row>
    <row r="96" spans="1:18" x14ac:dyDescent="0.35">
      <c r="A96" s="149" t="str">
        <f t="shared" si="1"/>
        <v>3.32</v>
      </c>
      <c r="B96" s="147" t="s">
        <v>799</v>
      </c>
      <c r="C96" s="147"/>
      <c r="D96" s="147"/>
      <c r="E96" s="147"/>
      <c r="F96" s="147"/>
      <c r="G96" s="147"/>
      <c r="H96" s="147"/>
      <c r="I96" s="147"/>
      <c r="J96" s="147"/>
      <c r="K96" s="147"/>
      <c r="L96" s="147"/>
      <c r="M96" s="147"/>
      <c r="N96" s="147"/>
      <c r="O96" s="147"/>
      <c r="P96" s="147"/>
      <c r="Q96" s="147"/>
      <c r="R96" s="147"/>
    </row>
    <row r="97" spans="1:18" x14ac:dyDescent="0.35">
      <c r="A97" s="149" t="str">
        <f t="shared" si="1"/>
        <v>3.33</v>
      </c>
      <c r="B97" s="147" t="s">
        <v>800</v>
      </c>
      <c r="C97" s="147"/>
      <c r="D97" s="147"/>
      <c r="E97" s="147"/>
      <c r="F97" s="147"/>
      <c r="G97" s="147"/>
      <c r="H97" s="147"/>
      <c r="I97" s="147"/>
      <c r="J97" s="147"/>
      <c r="K97" s="147"/>
      <c r="L97" s="147"/>
      <c r="M97" s="147"/>
      <c r="N97" s="147"/>
      <c r="O97" s="147"/>
      <c r="P97" s="147"/>
      <c r="Q97" s="147"/>
      <c r="R97" s="147"/>
    </row>
    <row r="98" spans="1:18" x14ac:dyDescent="0.35">
      <c r="A98" s="149" t="str">
        <f t="shared" si="1"/>
        <v>3.34</v>
      </c>
      <c r="B98" s="147" t="s">
        <v>808</v>
      </c>
      <c r="C98" s="147"/>
      <c r="D98" s="147"/>
      <c r="E98" s="147"/>
      <c r="F98" s="147"/>
      <c r="G98" s="147"/>
      <c r="H98" s="147"/>
      <c r="I98" s="147"/>
      <c r="J98" s="147"/>
      <c r="K98" s="147"/>
      <c r="L98" s="147"/>
      <c r="M98" s="147"/>
      <c r="N98" s="147"/>
      <c r="O98" s="147"/>
      <c r="P98" s="147"/>
      <c r="Q98" s="147"/>
      <c r="R98" s="147"/>
    </row>
    <row r="99" spans="1:18" x14ac:dyDescent="0.35">
      <c r="A99" s="149" t="str">
        <f t="shared" si="1"/>
        <v>3.35</v>
      </c>
      <c r="B99" s="147" t="s">
        <v>802</v>
      </c>
      <c r="C99" s="147"/>
      <c r="D99" s="147"/>
      <c r="E99" s="147"/>
      <c r="F99" s="147"/>
      <c r="G99" s="147"/>
      <c r="H99" s="147"/>
      <c r="I99" s="147"/>
      <c r="J99" s="147"/>
      <c r="K99" s="147"/>
      <c r="L99" s="147"/>
      <c r="M99" s="147"/>
      <c r="N99" s="147"/>
      <c r="O99" s="147"/>
      <c r="P99" s="147"/>
      <c r="Q99" s="147"/>
      <c r="R99" s="147"/>
    </row>
    <row r="100" spans="1:18" x14ac:dyDescent="0.35">
      <c r="A100" s="149" t="str">
        <f t="shared" si="1"/>
        <v>3.36</v>
      </c>
      <c r="B100" s="147" t="s">
        <v>803</v>
      </c>
      <c r="C100" s="147"/>
      <c r="D100" s="147"/>
      <c r="E100" s="147"/>
      <c r="F100" s="147"/>
      <c r="G100" s="147"/>
      <c r="H100" s="147"/>
      <c r="I100" s="147"/>
      <c r="J100" s="147"/>
      <c r="K100" s="147"/>
      <c r="L100" s="147"/>
      <c r="M100" s="147"/>
      <c r="N100" s="147"/>
      <c r="O100" s="147"/>
      <c r="P100" s="147"/>
      <c r="Q100" s="147"/>
      <c r="R100" s="147"/>
    </row>
    <row r="101" spans="1:18" x14ac:dyDescent="0.35">
      <c r="A101" s="149" t="str">
        <f t="shared" si="1"/>
        <v>3.37</v>
      </c>
      <c r="B101" s="147" t="s">
        <v>804</v>
      </c>
      <c r="C101" s="147"/>
      <c r="D101" s="147"/>
      <c r="E101" s="147"/>
      <c r="F101" s="147"/>
      <c r="G101" s="147"/>
      <c r="H101" s="147"/>
      <c r="I101" s="147"/>
      <c r="J101" s="147"/>
      <c r="K101" s="147"/>
      <c r="L101" s="147"/>
      <c r="M101" s="147"/>
      <c r="N101" s="147"/>
      <c r="O101" s="147"/>
      <c r="P101" s="147"/>
      <c r="Q101" s="147"/>
      <c r="R101" s="147"/>
    </row>
    <row r="102" spans="1:18" x14ac:dyDescent="0.35">
      <c r="A102" s="149" t="str">
        <f t="shared" si="1"/>
        <v>3.38</v>
      </c>
      <c r="B102" s="147" t="s">
        <v>815</v>
      </c>
      <c r="C102" s="147"/>
      <c r="D102" s="147"/>
      <c r="E102" s="147"/>
      <c r="F102" s="147"/>
      <c r="G102" s="147"/>
      <c r="H102" s="147"/>
      <c r="I102" s="147"/>
      <c r="J102" s="147"/>
      <c r="K102" s="147"/>
      <c r="L102" s="147"/>
      <c r="M102" s="147"/>
      <c r="N102" s="147"/>
      <c r="O102" s="147"/>
      <c r="P102" s="147"/>
      <c r="Q102" s="147"/>
      <c r="R102" s="147"/>
    </row>
    <row r="103" spans="1:18" x14ac:dyDescent="0.35">
      <c r="A103" s="149" t="str">
        <f t="shared" si="1"/>
        <v>3.39</v>
      </c>
      <c r="B103" s="147" t="s">
        <v>834</v>
      </c>
      <c r="C103" s="147"/>
      <c r="D103" s="147"/>
      <c r="E103" s="147"/>
      <c r="F103" s="147"/>
      <c r="G103" s="147"/>
      <c r="H103" s="147"/>
      <c r="I103" s="147"/>
      <c r="J103" s="147"/>
      <c r="K103" s="147"/>
      <c r="L103" s="147"/>
      <c r="M103" s="147"/>
      <c r="N103" s="147"/>
      <c r="O103" s="147"/>
      <c r="P103" s="147"/>
      <c r="Q103" s="147"/>
      <c r="R103" s="147"/>
    </row>
    <row r="104" spans="1:18" x14ac:dyDescent="0.35">
      <c r="A104" s="149" t="str">
        <f t="shared" si="1"/>
        <v>3.40</v>
      </c>
      <c r="B104" s="147" t="s">
        <v>843</v>
      </c>
      <c r="C104" s="147"/>
      <c r="D104" s="147"/>
      <c r="E104" s="147"/>
      <c r="F104" s="147"/>
      <c r="G104" s="147"/>
      <c r="H104" s="147"/>
      <c r="I104" s="147"/>
      <c r="J104" s="147"/>
      <c r="K104" s="147"/>
      <c r="L104" s="147"/>
      <c r="M104" s="147"/>
      <c r="N104" s="147"/>
      <c r="O104" s="147"/>
      <c r="P104" s="147"/>
      <c r="Q104" s="147"/>
      <c r="R104" s="147"/>
    </row>
    <row r="105" spans="1:18" x14ac:dyDescent="0.35">
      <c r="A105" s="149" t="str">
        <f t="shared" si="1"/>
        <v>3.41</v>
      </c>
      <c r="B105" s="147" t="s">
        <v>806</v>
      </c>
      <c r="C105" s="147"/>
      <c r="D105" s="147"/>
      <c r="E105" s="147"/>
      <c r="F105" s="147"/>
      <c r="G105" s="147"/>
      <c r="H105" s="147"/>
      <c r="I105" s="147"/>
      <c r="J105" s="147"/>
      <c r="K105" s="147"/>
      <c r="L105" s="147"/>
      <c r="M105" s="147"/>
      <c r="N105" s="147"/>
      <c r="O105" s="147"/>
      <c r="P105" s="147"/>
      <c r="Q105" s="147"/>
      <c r="R105" s="147"/>
    </row>
    <row r="106" spans="1:18" x14ac:dyDescent="0.35">
      <c r="A106" s="149" t="str">
        <f t="shared" si="1"/>
        <v>3.42</v>
      </c>
      <c r="B106" s="147" t="s">
        <v>805</v>
      </c>
      <c r="C106" s="147"/>
      <c r="D106" s="147"/>
      <c r="E106" s="147"/>
      <c r="F106" s="147"/>
      <c r="G106" s="147"/>
      <c r="H106" s="147"/>
      <c r="I106" s="147"/>
      <c r="J106" s="147"/>
      <c r="K106" s="147"/>
      <c r="L106" s="147"/>
      <c r="M106" s="147"/>
      <c r="N106" s="147"/>
      <c r="O106" s="147"/>
      <c r="P106" s="147"/>
      <c r="Q106" s="147"/>
      <c r="R106" s="147"/>
    </row>
    <row r="107" spans="1:18" x14ac:dyDescent="0.35">
      <c r="A107" s="149" t="str">
        <f t="shared" si="1"/>
        <v>3.43</v>
      </c>
      <c r="B107" s="147" t="s">
        <v>835</v>
      </c>
      <c r="C107" s="147"/>
      <c r="D107" s="147"/>
      <c r="E107" s="147"/>
      <c r="F107" s="147"/>
      <c r="G107" s="147"/>
      <c r="H107" s="147"/>
      <c r="I107" s="147"/>
      <c r="J107" s="147"/>
      <c r="K107" s="147"/>
      <c r="L107" s="147"/>
      <c r="M107" s="147"/>
      <c r="N107" s="147"/>
      <c r="O107" s="147"/>
      <c r="P107" s="147"/>
      <c r="Q107" s="147"/>
      <c r="R107" s="147"/>
    </row>
    <row r="108" spans="1:18" x14ac:dyDescent="0.35">
      <c r="A108" s="149" t="str">
        <f t="shared" si="1"/>
        <v>3.44</v>
      </c>
      <c r="B108" s="147" t="s">
        <v>836</v>
      </c>
      <c r="C108" s="147"/>
      <c r="D108" s="147"/>
      <c r="E108" s="147"/>
      <c r="F108" s="147"/>
      <c r="G108" s="147"/>
      <c r="H108" s="147"/>
      <c r="I108" s="147"/>
      <c r="J108" s="147"/>
      <c r="K108" s="147"/>
      <c r="L108" s="147"/>
      <c r="M108" s="147"/>
      <c r="N108" s="147"/>
      <c r="O108" s="147"/>
      <c r="P108" s="147"/>
      <c r="Q108" s="147"/>
      <c r="R108" s="147"/>
    </row>
    <row r="109" spans="1:18" x14ac:dyDescent="0.35">
      <c r="A109" s="149" t="str">
        <f t="shared" si="1"/>
        <v>3.45</v>
      </c>
      <c r="B109" s="147" t="s">
        <v>860</v>
      </c>
      <c r="C109" s="147"/>
      <c r="D109" s="147"/>
      <c r="E109" s="147"/>
      <c r="F109" s="147"/>
      <c r="G109" s="147"/>
      <c r="H109" s="147"/>
      <c r="I109" s="147"/>
      <c r="J109" s="147"/>
      <c r="K109" s="147"/>
      <c r="L109" s="147"/>
      <c r="M109" s="147"/>
      <c r="N109" s="147"/>
      <c r="O109" s="147"/>
      <c r="P109" s="147"/>
      <c r="Q109" s="147"/>
      <c r="R109" s="147"/>
    </row>
    <row r="110" spans="1:18" x14ac:dyDescent="0.35">
      <c r="A110" s="149" t="str">
        <f t="shared" si="1"/>
        <v>3.46</v>
      </c>
      <c r="B110" s="147" t="s">
        <v>837</v>
      </c>
      <c r="C110" s="147"/>
      <c r="D110" s="147"/>
      <c r="E110" s="147"/>
      <c r="F110" s="147"/>
      <c r="G110" s="147"/>
      <c r="H110" s="147"/>
      <c r="I110" s="147"/>
      <c r="J110" s="147"/>
      <c r="K110" s="147"/>
      <c r="L110" s="147"/>
      <c r="M110" s="147"/>
      <c r="N110" s="147"/>
      <c r="O110" s="147"/>
      <c r="P110" s="147"/>
      <c r="Q110" s="147"/>
      <c r="R110" s="147"/>
    </row>
    <row r="111" spans="1:18" x14ac:dyDescent="0.35">
      <c r="A111" s="149" t="str">
        <f t="shared" si="1"/>
        <v>3.47</v>
      </c>
      <c r="B111" s="147" t="s">
        <v>807</v>
      </c>
      <c r="C111" s="147"/>
      <c r="D111" s="147"/>
      <c r="E111" s="147"/>
      <c r="F111" s="147"/>
      <c r="G111" s="147"/>
      <c r="H111" s="147"/>
      <c r="I111" s="147"/>
      <c r="J111" s="147"/>
      <c r="K111" s="147"/>
      <c r="L111" s="147"/>
      <c r="M111" s="147"/>
      <c r="N111" s="147"/>
      <c r="O111" s="147"/>
      <c r="P111" s="147"/>
      <c r="Q111" s="147"/>
      <c r="R111" s="147"/>
    </row>
    <row r="112" spans="1:18" x14ac:dyDescent="0.35">
      <c r="A112" s="149" t="str">
        <f t="shared" si="1"/>
        <v>3.48</v>
      </c>
      <c r="B112" s="147" t="s">
        <v>861</v>
      </c>
      <c r="C112" s="147"/>
      <c r="D112" s="147"/>
      <c r="E112" s="147"/>
      <c r="F112" s="147"/>
      <c r="G112" s="147"/>
      <c r="H112" s="147"/>
      <c r="I112" s="147"/>
      <c r="J112" s="147"/>
      <c r="K112" s="147"/>
      <c r="L112" s="147"/>
      <c r="M112" s="147"/>
      <c r="N112" s="147"/>
      <c r="O112" s="147"/>
      <c r="P112" s="147"/>
      <c r="Q112" s="147"/>
      <c r="R112" s="147"/>
    </row>
    <row r="113" spans="1:18" x14ac:dyDescent="0.35">
      <c r="A113" s="149" t="str">
        <f t="shared" si="1"/>
        <v>3.49</v>
      </c>
      <c r="B113" s="147" t="s">
        <v>761</v>
      </c>
      <c r="C113" s="147"/>
      <c r="D113" s="147"/>
      <c r="E113" s="147"/>
      <c r="F113" s="147"/>
      <c r="G113" s="147"/>
      <c r="H113" s="147"/>
      <c r="I113" s="147"/>
      <c r="J113" s="147"/>
      <c r="K113" s="147"/>
      <c r="L113" s="147"/>
      <c r="M113" s="147"/>
      <c r="N113" s="147"/>
      <c r="O113" s="147"/>
      <c r="P113" s="147"/>
      <c r="Q113" s="147"/>
      <c r="R113" s="147"/>
    </row>
    <row r="114" spans="1:18" x14ac:dyDescent="0.35">
      <c r="A114" s="146" t="str">
        <f>IF(ISERROR(VALUE(SUBSTITUTE(prevWBS,".",""))),"1",IF(ISERROR(FIND("`",SUBSTITUTE(prevWBS,".","`",1))),TEXT(VALUE(prevWBS)+1,"#"),TEXT(VALUE(LEFT(prevWBS,FIND("`",SUBSTITUTE(prevWBS,".","`",1))-1))+1,"#")))</f>
        <v>4</v>
      </c>
      <c r="B114" s="215" t="s">
        <v>762</v>
      </c>
      <c r="C114" s="216"/>
      <c r="D114" s="216"/>
      <c r="E114" s="216"/>
      <c r="F114" s="216"/>
      <c r="G114" s="216"/>
      <c r="H114" s="216"/>
      <c r="I114" s="216"/>
      <c r="J114" s="216"/>
      <c r="K114" s="216"/>
      <c r="L114" s="216"/>
      <c r="M114" s="216"/>
      <c r="N114" s="216"/>
      <c r="O114" s="216"/>
      <c r="P114" s="216"/>
      <c r="Q114" s="216"/>
      <c r="R114" s="217"/>
    </row>
    <row r="115" spans="1:18" ht="36" x14ac:dyDescent="0.35">
      <c r="A115" s="149" t="str">
        <f t="shared" ref="A115:A193" si="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115" s="147" t="s">
        <v>966</v>
      </c>
      <c r="C115" s="147"/>
      <c r="D115" s="147"/>
      <c r="E115" s="147"/>
      <c r="F115" s="147"/>
      <c r="G115" s="147"/>
      <c r="H115" s="147"/>
      <c r="I115" s="147"/>
      <c r="J115" s="147"/>
      <c r="K115" s="147"/>
      <c r="L115" s="147"/>
      <c r="M115" s="147"/>
      <c r="N115" s="147"/>
      <c r="O115" s="147"/>
      <c r="P115" s="147"/>
      <c r="Q115" s="147"/>
      <c r="R115" s="147"/>
    </row>
    <row r="116" spans="1:18" ht="36" x14ac:dyDescent="0.35">
      <c r="A116" s="149" t="str">
        <f t="shared" si="3"/>
        <v>4.2</v>
      </c>
      <c r="B116" s="147" t="s">
        <v>967</v>
      </c>
      <c r="C116" s="147"/>
      <c r="D116" s="147"/>
      <c r="E116" s="147"/>
      <c r="F116" s="147"/>
      <c r="G116" s="147"/>
      <c r="H116" s="147"/>
      <c r="I116" s="147"/>
      <c r="J116" s="147"/>
      <c r="K116" s="147"/>
      <c r="L116" s="147"/>
      <c r="M116" s="147"/>
      <c r="N116" s="147"/>
      <c r="O116" s="147"/>
      <c r="P116" s="147"/>
      <c r="Q116" s="147"/>
      <c r="R116" s="147"/>
    </row>
    <row r="117" spans="1:18" ht="36" x14ac:dyDescent="0.35">
      <c r="A117" s="149" t="str">
        <f t="shared" si="3"/>
        <v>4.3</v>
      </c>
      <c r="B117" s="147" t="s">
        <v>968</v>
      </c>
      <c r="C117" s="147"/>
      <c r="D117" s="147"/>
      <c r="E117" s="147"/>
      <c r="F117" s="147"/>
      <c r="G117" s="147"/>
      <c r="H117" s="147"/>
      <c r="I117" s="147"/>
      <c r="J117" s="147"/>
      <c r="K117" s="147"/>
      <c r="L117" s="147"/>
      <c r="M117" s="147"/>
      <c r="N117" s="147"/>
      <c r="O117" s="147"/>
      <c r="P117" s="147"/>
      <c r="Q117" s="147"/>
      <c r="R117" s="147"/>
    </row>
    <row r="118" spans="1:18" x14ac:dyDescent="0.35">
      <c r="A118" s="149" t="str">
        <f t="shared" si="3"/>
        <v>4.4</v>
      </c>
      <c r="B118" s="147" t="s">
        <v>573</v>
      </c>
      <c r="C118" s="147"/>
      <c r="D118" s="147"/>
      <c r="E118" s="147"/>
      <c r="F118" s="147"/>
      <c r="G118" s="147"/>
      <c r="H118" s="147"/>
      <c r="I118" s="147"/>
      <c r="J118" s="147"/>
      <c r="K118" s="147"/>
      <c r="L118" s="147"/>
      <c r="M118" s="147"/>
      <c r="N118" s="147"/>
      <c r="O118" s="147"/>
      <c r="P118" s="147"/>
      <c r="Q118" s="147"/>
      <c r="R118" s="147"/>
    </row>
    <row r="119" spans="1:18" ht="36" x14ac:dyDescent="0.35">
      <c r="A119" s="149" t="str">
        <f t="shared" si="3"/>
        <v>4.5</v>
      </c>
      <c r="B119" s="147" t="s">
        <v>794</v>
      </c>
      <c r="C119" s="147"/>
      <c r="D119" s="147"/>
      <c r="E119" s="147"/>
      <c r="F119" s="147"/>
      <c r="G119" s="147"/>
      <c r="H119" s="147"/>
      <c r="I119" s="147"/>
      <c r="J119" s="147"/>
      <c r="K119" s="147"/>
      <c r="L119" s="147"/>
      <c r="M119" s="147"/>
      <c r="N119" s="147"/>
      <c r="O119" s="147"/>
      <c r="P119" s="147"/>
      <c r="Q119" s="147"/>
      <c r="R119" s="147"/>
    </row>
    <row r="120" spans="1:18" ht="36" x14ac:dyDescent="0.35">
      <c r="A120" s="149" t="str">
        <f t="shared" si="3"/>
        <v>4.6</v>
      </c>
      <c r="B120" s="147" t="s">
        <v>795</v>
      </c>
      <c r="C120" s="147"/>
      <c r="D120" s="147"/>
      <c r="E120" s="147"/>
      <c r="F120" s="147"/>
      <c r="G120" s="147"/>
      <c r="H120" s="147"/>
      <c r="I120" s="147"/>
      <c r="J120" s="147"/>
      <c r="K120" s="147"/>
      <c r="L120" s="147"/>
      <c r="M120" s="147"/>
      <c r="N120" s="147"/>
      <c r="O120" s="147"/>
      <c r="P120" s="147"/>
      <c r="Q120" s="147"/>
      <c r="R120" s="147"/>
    </row>
    <row r="121" spans="1:18" ht="36" x14ac:dyDescent="0.35">
      <c r="A121" s="149" t="str">
        <f t="shared" si="3"/>
        <v>4.7</v>
      </c>
      <c r="B121" s="147" t="s">
        <v>763</v>
      </c>
      <c r="C121" s="147"/>
      <c r="D121" s="147"/>
      <c r="E121" s="147"/>
      <c r="F121" s="147"/>
      <c r="G121" s="147"/>
      <c r="H121" s="147"/>
      <c r="I121" s="147"/>
      <c r="J121" s="147"/>
      <c r="K121" s="147"/>
      <c r="L121" s="147"/>
      <c r="M121" s="147"/>
      <c r="N121" s="147"/>
      <c r="O121" s="147"/>
      <c r="P121" s="147"/>
      <c r="Q121" s="147"/>
      <c r="R121" s="147"/>
    </row>
    <row r="122" spans="1:18" x14ac:dyDescent="0.35">
      <c r="A122" s="149" t="str">
        <f t="shared" si="3"/>
        <v>4.8</v>
      </c>
      <c r="B122" s="147" t="s">
        <v>764</v>
      </c>
      <c r="C122" s="147"/>
      <c r="D122" s="147"/>
      <c r="E122" s="147"/>
      <c r="F122" s="147"/>
      <c r="G122" s="147"/>
      <c r="H122" s="147"/>
      <c r="I122" s="147"/>
      <c r="J122" s="147"/>
      <c r="K122" s="147"/>
      <c r="L122" s="147"/>
      <c r="M122" s="147"/>
      <c r="N122" s="147"/>
      <c r="O122" s="147"/>
      <c r="P122" s="147"/>
      <c r="Q122" s="147"/>
      <c r="R122" s="147"/>
    </row>
    <row r="123" spans="1:18" x14ac:dyDescent="0.35">
      <c r="A123" s="149" t="str">
        <f t="shared" si="3"/>
        <v>4.9</v>
      </c>
      <c r="B123" s="147" t="s">
        <v>765</v>
      </c>
      <c r="C123" s="147"/>
      <c r="D123" s="147"/>
      <c r="E123" s="147"/>
      <c r="F123" s="147"/>
      <c r="G123" s="147"/>
      <c r="H123" s="147"/>
      <c r="I123" s="147"/>
      <c r="J123" s="147"/>
      <c r="K123" s="147"/>
      <c r="L123" s="147"/>
      <c r="M123" s="147"/>
      <c r="N123" s="147"/>
      <c r="O123" s="147"/>
      <c r="P123" s="147"/>
      <c r="Q123" s="147"/>
      <c r="R123" s="147"/>
    </row>
    <row r="124" spans="1:18" x14ac:dyDescent="0.35">
      <c r="A124" s="149" t="str">
        <f t="shared" si="3"/>
        <v>4.10</v>
      </c>
      <c r="B124" s="147" t="s">
        <v>766</v>
      </c>
      <c r="C124" s="147"/>
      <c r="D124" s="147"/>
      <c r="E124" s="147"/>
      <c r="F124" s="147"/>
      <c r="G124" s="147"/>
      <c r="H124" s="147"/>
      <c r="I124" s="147"/>
      <c r="J124" s="147"/>
      <c r="K124" s="147"/>
      <c r="L124" s="147"/>
      <c r="M124" s="147"/>
      <c r="N124" s="147"/>
      <c r="O124" s="147"/>
      <c r="P124" s="147"/>
      <c r="Q124" s="147"/>
      <c r="R124" s="147"/>
    </row>
    <row r="125" spans="1:18" ht="36" x14ac:dyDescent="0.35">
      <c r="A125" s="149" t="str">
        <f t="shared" si="3"/>
        <v>4.11</v>
      </c>
      <c r="B125" s="147" t="s">
        <v>767</v>
      </c>
      <c r="C125" s="147"/>
      <c r="D125" s="147"/>
      <c r="E125" s="147"/>
      <c r="F125" s="147"/>
      <c r="G125" s="147"/>
      <c r="H125" s="147"/>
      <c r="I125" s="147"/>
      <c r="J125" s="147"/>
      <c r="K125" s="147"/>
      <c r="L125" s="147"/>
      <c r="M125" s="147"/>
      <c r="N125" s="147"/>
      <c r="O125" s="147"/>
      <c r="P125" s="147"/>
      <c r="Q125" s="147"/>
      <c r="R125" s="147"/>
    </row>
    <row r="126" spans="1:18" x14ac:dyDescent="0.35">
      <c r="A126" s="149" t="str">
        <f t="shared" si="3"/>
        <v>4.12</v>
      </c>
      <c r="B126" s="147" t="s">
        <v>768</v>
      </c>
      <c r="C126" s="147"/>
      <c r="D126" s="147"/>
      <c r="E126" s="147"/>
      <c r="F126" s="147"/>
      <c r="G126" s="147"/>
      <c r="H126" s="147"/>
      <c r="I126" s="147"/>
      <c r="J126" s="147"/>
      <c r="K126" s="147"/>
      <c r="L126" s="147"/>
      <c r="M126" s="147"/>
      <c r="N126" s="147"/>
      <c r="O126" s="147"/>
      <c r="P126" s="147"/>
      <c r="Q126" s="147"/>
      <c r="R126" s="147"/>
    </row>
    <row r="127" spans="1:18" x14ac:dyDescent="0.35">
      <c r="A127" s="149" t="str">
        <f t="shared" si="3"/>
        <v>4.13</v>
      </c>
      <c r="B127" s="147" t="s">
        <v>769</v>
      </c>
      <c r="C127" s="147"/>
      <c r="D127" s="147"/>
      <c r="E127" s="147"/>
      <c r="F127" s="147"/>
      <c r="G127" s="147"/>
      <c r="H127" s="147"/>
      <c r="I127" s="147"/>
      <c r="J127" s="147"/>
      <c r="K127" s="147"/>
      <c r="L127" s="147"/>
      <c r="M127" s="147"/>
      <c r="N127" s="147"/>
      <c r="O127" s="147"/>
      <c r="P127" s="147"/>
      <c r="Q127" s="147"/>
      <c r="R127" s="147"/>
    </row>
    <row r="128" spans="1:18" x14ac:dyDescent="0.35">
      <c r="A128" s="149" t="str">
        <f t="shared" si="3"/>
        <v>4.14</v>
      </c>
      <c r="B128" s="147" t="s">
        <v>592</v>
      </c>
      <c r="C128" s="147"/>
      <c r="D128" s="147"/>
      <c r="E128" s="147"/>
      <c r="F128" s="147"/>
      <c r="G128" s="147"/>
      <c r="H128" s="147"/>
      <c r="I128" s="147"/>
      <c r="J128" s="147"/>
      <c r="K128" s="147"/>
      <c r="L128" s="147"/>
      <c r="M128" s="147"/>
      <c r="N128" s="147"/>
      <c r="O128" s="147"/>
      <c r="P128" s="147"/>
      <c r="Q128" s="147"/>
      <c r="R128" s="147"/>
    </row>
    <row r="129" spans="1:18" ht="36" x14ac:dyDescent="0.35">
      <c r="A129" s="149" t="str">
        <f t="shared" si="3"/>
        <v>4.15</v>
      </c>
      <c r="B129" s="147" t="s">
        <v>31</v>
      </c>
      <c r="C129" s="147"/>
      <c r="D129" s="147"/>
      <c r="E129" s="147"/>
      <c r="F129" s="147"/>
      <c r="G129" s="147"/>
      <c r="H129" s="147"/>
      <c r="I129" s="147"/>
      <c r="J129" s="147"/>
      <c r="K129" s="147"/>
      <c r="L129" s="147"/>
      <c r="M129" s="147"/>
      <c r="N129" s="147"/>
      <c r="O129" s="147"/>
      <c r="P129" s="147"/>
      <c r="Q129" s="147"/>
      <c r="R129" s="147"/>
    </row>
    <row r="130" spans="1:18" ht="33" customHeight="1" x14ac:dyDescent="0.35">
      <c r="A130" s="149" t="str">
        <f t="shared" si="3"/>
        <v>4.16</v>
      </c>
      <c r="B130" s="147" t="s">
        <v>567</v>
      </c>
      <c r="C130" s="147"/>
      <c r="D130" s="147"/>
      <c r="E130" s="147"/>
      <c r="F130" s="147"/>
      <c r="G130" s="147"/>
      <c r="H130" s="147"/>
      <c r="I130" s="147"/>
      <c r="J130" s="147"/>
      <c r="K130" s="147"/>
      <c r="L130" s="147"/>
      <c r="M130" s="147"/>
      <c r="N130" s="147"/>
      <c r="O130" s="147"/>
      <c r="P130" s="147"/>
      <c r="Q130" s="147"/>
      <c r="R130" s="147"/>
    </row>
    <row r="131" spans="1:18" x14ac:dyDescent="0.35">
      <c r="A131" s="149" t="str">
        <f t="shared" si="3"/>
        <v>4.17</v>
      </c>
      <c r="B131" s="147" t="s">
        <v>770</v>
      </c>
      <c r="C131" s="147"/>
      <c r="D131" s="147"/>
      <c r="E131" s="147"/>
      <c r="F131" s="147"/>
      <c r="G131" s="147"/>
      <c r="H131" s="147"/>
      <c r="I131" s="147"/>
      <c r="J131" s="147"/>
      <c r="K131" s="147"/>
      <c r="L131" s="147"/>
      <c r="M131" s="147"/>
      <c r="N131" s="147"/>
      <c r="O131" s="147"/>
      <c r="P131" s="147"/>
      <c r="Q131" s="147"/>
      <c r="R131" s="147"/>
    </row>
    <row r="132" spans="1:18" x14ac:dyDescent="0.35">
      <c r="A132" s="149" t="str">
        <f t="shared" si="3"/>
        <v>4.18</v>
      </c>
      <c r="B132" s="147" t="s">
        <v>970</v>
      </c>
      <c r="C132" s="147"/>
      <c r="D132" s="147"/>
      <c r="E132" s="147"/>
      <c r="F132" s="147"/>
      <c r="G132" s="147"/>
      <c r="H132" s="147"/>
      <c r="I132" s="147"/>
      <c r="J132" s="147"/>
      <c r="K132" s="147"/>
      <c r="L132" s="147"/>
      <c r="M132" s="147"/>
      <c r="N132" s="147"/>
      <c r="O132" s="147"/>
      <c r="P132" s="147"/>
      <c r="Q132" s="147"/>
      <c r="R132" s="147"/>
    </row>
    <row r="133" spans="1:18" x14ac:dyDescent="0.35">
      <c r="A133" s="149" t="str">
        <f t="shared" si="3"/>
        <v>4.19</v>
      </c>
      <c r="B133" s="147" t="s">
        <v>771</v>
      </c>
      <c r="C133" s="147"/>
      <c r="D133" s="147"/>
      <c r="E133" s="147"/>
      <c r="F133" s="147"/>
      <c r="G133" s="147"/>
      <c r="H133" s="147"/>
      <c r="I133" s="147"/>
      <c r="J133" s="147"/>
      <c r="K133" s="147"/>
      <c r="L133" s="147"/>
      <c r="M133" s="147"/>
      <c r="N133" s="147"/>
      <c r="O133" s="147"/>
      <c r="P133" s="147"/>
      <c r="Q133" s="147"/>
      <c r="R133" s="147"/>
    </row>
    <row r="134" spans="1:18" x14ac:dyDescent="0.35">
      <c r="A134" s="149" t="str">
        <f t="shared" si="3"/>
        <v>4.20</v>
      </c>
      <c r="B134" s="147" t="s">
        <v>772</v>
      </c>
      <c r="C134" s="147"/>
      <c r="D134" s="147"/>
      <c r="E134" s="147"/>
      <c r="F134" s="147"/>
      <c r="G134" s="147"/>
      <c r="H134" s="147"/>
      <c r="I134" s="147"/>
      <c r="J134" s="147"/>
      <c r="K134" s="147"/>
      <c r="L134" s="147"/>
      <c r="M134" s="147"/>
      <c r="N134" s="147"/>
      <c r="O134" s="147"/>
      <c r="P134" s="147"/>
      <c r="Q134" s="147"/>
      <c r="R134" s="147"/>
    </row>
    <row r="135" spans="1:18" x14ac:dyDescent="0.35">
      <c r="A135" s="149" t="str">
        <f t="shared" si="3"/>
        <v>4.21</v>
      </c>
      <c r="B135" s="147" t="s">
        <v>773</v>
      </c>
      <c r="C135" s="147"/>
      <c r="D135" s="147"/>
      <c r="E135" s="147"/>
      <c r="F135" s="147"/>
      <c r="G135" s="147"/>
      <c r="H135" s="147"/>
      <c r="I135" s="147"/>
      <c r="J135" s="147"/>
      <c r="K135" s="147"/>
      <c r="L135" s="147"/>
      <c r="M135" s="147"/>
      <c r="N135" s="147"/>
      <c r="O135" s="147"/>
      <c r="P135" s="147"/>
      <c r="Q135" s="147"/>
      <c r="R135" s="147"/>
    </row>
    <row r="136" spans="1:18" x14ac:dyDescent="0.35">
      <c r="A136" s="146" t="str">
        <f>IF(ISERROR(VALUE(SUBSTITUTE(prevWBS,".",""))),"1",IF(ISERROR(FIND("`",SUBSTITUTE(prevWBS,".","`",1))),TEXT(VALUE(prevWBS)+1,"#"),TEXT(VALUE(LEFT(prevWBS,FIND("`",SUBSTITUTE(prevWBS,".","`",1))-1))+1,"#")))</f>
        <v>5</v>
      </c>
      <c r="B136" s="215" t="s">
        <v>774</v>
      </c>
      <c r="C136" s="216"/>
      <c r="D136" s="216"/>
      <c r="E136" s="216"/>
      <c r="F136" s="216"/>
      <c r="G136" s="216"/>
      <c r="H136" s="216"/>
      <c r="I136" s="216"/>
      <c r="J136" s="216"/>
      <c r="K136" s="216"/>
      <c r="L136" s="216"/>
      <c r="M136" s="216"/>
      <c r="N136" s="216"/>
      <c r="O136" s="216"/>
      <c r="P136" s="216"/>
      <c r="Q136" s="216"/>
      <c r="R136" s="217"/>
    </row>
    <row r="137" spans="1:18" x14ac:dyDescent="0.35">
      <c r="A137" s="149" t="str">
        <f t="shared" si="3"/>
        <v>5.1</v>
      </c>
      <c r="B137" s="147" t="s">
        <v>796</v>
      </c>
      <c r="C137" s="147"/>
      <c r="D137" s="147"/>
      <c r="E137" s="147"/>
      <c r="F137" s="147"/>
      <c r="G137" s="147"/>
      <c r="H137" s="147"/>
      <c r="I137" s="147"/>
      <c r="J137" s="147"/>
      <c r="K137" s="147"/>
      <c r="L137" s="147"/>
      <c r="M137" s="147"/>
      <c r="N137" s="147"/>
      <c r="O137" s="147"/>
      <c r="P137" s="147"/>
      <c r="Q137" s="147"/>
      <c r="R137" s="147"/>
    </row>
    <row r="138" spans="1:18" x14ac:dyDescent="0.35">
      <c r="A138" s="149" t="str">
        <f t="shared" si="3"/>
        <v>5.2</v>
      </c>
      <c r="B138" s="147" t="s">
        <v>775</v>
      </c>
      <c r="C138" s="147"/>
      <c r="D138" s="147"/>
      <c r="E138" s="147"/>
      <c r="F138" s="147"/>
      <c r="G138" s="147"/>
      <c r="H138" s="147"/>
      <c r="I138" s="147"/>
      <c r="J138" s="147"/>
      <c r="K138" s="147"/>
      <c r="L138" s="147"/>
      <c r="M138" s="147"/>
      <c r="N138" s="147"/>
      <c r="O138" s="147"/>
      <c r="P138" s="147"/>
      <c r="Q138" s="147"/>
      <c r="R138" s="147"/>
    </row>
    <row r="139" spans="1:18" x14ac:dyDescent="0.35">
      <c r="A139" s="149" t="str">
        <f t="shared" si="3"/>
        <v>5.3</v>
      </c>
      <c r="B139" s="147" t="s">
        <v>554</v>
      </c>
      <c r="C139" s="147"/>
      <c r="D139" s="147"/>
      <c r="E139" s="147"/>
      <c r="F139" s="147"/>
      <c r="G139" s="147"/>
      <c r="H139" s="147"/>
      <c r="I139" s="147"/>
      <c r="J139" s="147"/>
      <c r="K139" s="147"/>
      <c r="L139" s="147"/>
      <c r="M139" s="147"/>
      <c r="N139" s="147"/>
      <c r="O139" s="147"/>
      <c r="P139" s="147"/>
      <c r="Q139" s="147"/>
      <c r="R139" s="147"/>
    </row>
    <row r="140" spans="1:18" ht="36" x14ac:dyDescent="0.35">
      <c r="A140" s="149" t="str">
        <f t="shared" si="3"/>
        <v>5.4</v>
      </c>
      <c r="B140" s="147" t="s">
        <v>776</v>
      </c>
      <c r="C140" s="147"/>
      <c r="D140" s="147"/>
      <c r="E140" s="147"/>
      <c r="F140" s="147"/>
      <c r="G140" s="147"/>
      <c r="H140" s="147"/>
      <c r="I140" s="147"/>
      <c r="J140" s="147"/>
      <c r="K140" s="147"/>
      <c r="L140" s="147"/>
      <c r="M140" s="147"/>
      <c r="N140" s="147"/>
      <c r="O140" s="147"/>
      <c r="P140" s="147"/>
      <c r="Q140" s="147"/>
      <c r="R140" s="147"/>
    </row>
    <row r="141" spans="1:18" ht="36" x14ac:dyDescent="0.35">
      <c r="A141" s="149" t="str">
        <f t="shared" si="3"/>
        <v>5.5</v>
      </c>
      <c r="B141" s="147" t="s">
        <v>777</v>
      </c>
      <c r="C141" s="147"/>
      <c r="D141" s="147"/>
      <c r="E141" s="147"/>
      <c r="F141" s="147"/>
      <c r="G141" s="147"/>
      <c r="H141" s="147"/>
      <c r="I141" s="147"/>
      <c r="J141" s="147"/>
      <c r="K141" s="147"/>
      <c r="L141" s="147"/>
      <c r="M141" s="147"/>
      <c r="N141" s="147"/>
      <c r="O141" s="147"/>
      <c r="P141" s="147"/>
      <c r="Q141" s="147"/>
      <c r="R141" s="147"/>
    </row>
    <row r="142" spans="1:18" ht="36" x14ac:dyDescent="0.35">
      <c r="A142" s="149" t="str">
        <f t="shared" si="3"/>
        <v>5.6</v>
      </c>
      <c r="B142" s="147" t="s">
        <v>778</v>
      </c>
      <c r="C142" s="147"/>
      <c r="D142" s="147"/>
      <c r="E142" s="147"/>
      <c r="F142" s="147"/>
      <c r="G142" s="147"/>
      <c r="H142" s="147"/>
      <c r="I142" s="147"/>
      <c r="J142" s="147"/>
      <c r="K142" s="147"/>
      <c r="L142" s="147"/>
      <c r="M142" s="147"/>
      <c r="N142" s="147"/>
      <c r="O142" s="147"/>
      <c r="P142" s="147"/>
      <c r="Q142" s="147"/>
      <c r="R142" s="147"/>
    </row>
    <row r="143" spans="1:18" x14ac:dyDescent="0.35">
      <c r="A143" s="149" t="str">
        <f t="shared" si="3"/>
        <v>5.7</v>
      </c>
      <c r="B143" s="147" t="s">
        <v>779</v>
      </c>
      <c r="C143" s="147"/>
      <c r="D143" s="147"/>
      <c r="E143" s="147"/>
      <c r="F143" s="147"/>
      <c r="G143" s="147"/>
      <c r="H143" s="147"/>
      <c r="I143" s="147"/>
      <c r="J143" s="147"/>
      <c r="K143" s="147"/>
      <c r="L143" s="147"/>
      <c r="M143" s="147"/>
      <c r="N143" s="147"/>
      <c r="O143" s="147"/>
      <c r="P143" s="147"/>
      <c r="Q143" s="147"/>
      <c r="R143" s="147"/>
    </row>
    <row r="144" spans="1:18" x14ac:dyDescent="0.35">
      <c r="A144" s="149" t="str">
        <f t="shared" si="3"/>
        <v>5.8</v>
      </c>
      <c r="B144" s="147" t="s">
        <v>557</v>
      </c>
      <c r="C144" s="147"/>
      <c r="D144" s="147"/>
      <c r="E144" s="147"/>
      <c r="F144" s="147"/>
      <c r="G144" s="147"/>
      <c r="H144" s="147"/>
      <c r="I144" s="147"/>
      <c r="J144" s="147"/>
      <c r="K144" s="147"/>
      <c r="L144" s="147"/>
      <c r="M144" s="147"/>
      <c r="N144" s="147"/>
      <c r="O144" s="147"/>
      <c r="P144" s="147"/>
      <c r="Q144" s="147"/>
      <c r="R144" s="147"/>
    </row>
    <row r="145" spans="1:18" x14ac:dyDescent="0.35">
      <c r="A145" s="146" t="str">
        <f>IF(ISERROR(VALUE(SUBSTITUTE(prevWBS,".",""))),"1",IF(ISERROR(FIND("`",SUBSTITUTE(prevWBS,".","`",1))),TEXT(VALUE(prevWBS)+1,"#"),TEXT(VALUE(LEFT(prevWBS,FIND("`",SUBSTITUTE(prevWBS,".","`",1))-1))+1,"#")))</f>
        <v>6</v>
      </c>
      <c r="B145" s="215" t="s">
        <v>414</v>
      </c>
      <c r="C145" s="216"/>
      <c r="D145" s="216"/>
      <c r="E145" s="216"/>
      <c r="F145" s="216"/>
      <c r="G145" s="216"/>
      <c r="H145" s="216"/>
      <c r="I145" s="216"/>
      <c r="J145" s="216"/>
      <c r="K145" s="216"/>
      <c r="L145" s="216"/>
      <c r="M145" s="216"/>
      <c r="N145" s="216"/>
      <c r="O145" s="216"/>
      <c r="P145" s="216"/>
      <c r="Q145" s="216"/>
      <c r="R145" s="217"/>
    </row>
    <row r="146" spans="1:18" x14ac:dyDescent="0.35">
      <c r="A146" s="150" t="str">
        <f t="shared" ref="A146"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146" s="148" t="s">
        <v>749</v>
      </c>
      <c r="C146" s="147"/>
      <c r="D146" s="147"/>
      <c r="E146" s="147"/>
      <c r="F146" s="147"/>
      <c r="G146" s="147"/>
      <c r="H146" s="147"/>
      <c r="I146" s="147"/>
      <c r="J146" s="147"/>
      <c r="K146" s="147"/>
      <c r="L146" s="147"/>
      <c r="M146" s="147"/>
      <c r="N146" s="147"/>
      <c r="O146" s="147"/>
      <c r="P146" s="147"/>
      <c r="Q146" s="147"/>
      <c r="R146" s="147"/>
    </row>
    <row r="147" spans="1:18" x14ac:dyDescent="0.35">
      <c r="A147" s="149" t="str">
        <f t="shared" si="3"/>
        <v>6.2</v>
      </c>
      <c r="B147" s="147" t="s">
        <v>780</v>
      </c>
      <c r="C147" s="147"/>
      <c r="D147" s="147"/>
      <c r="E147" s="147"/>
      <c r="F147" s="147"/>
      <c r="G147" s="147"/>
      <c r="H147" s="147"/>
      <c r="I147" s="147"/>
      <c r="J147" s="147"/>
      <c r="K147" s="147"/>
      <c r="L147" s="147"/>
      <c r="M147" s="147"/>
      <c r="N147" s="147"/>
      <c r="O147" s="147"/>
      <c r="P147" s="147"/>
      <c r="Q147" s="147"/>
      <c r="R147" s="147"/>
    </row>
    <row r="148" spans="1:18" x14ac:dyDescent="0.35">
      <c r="A148" s="149" t="str">
        <f t="shared" si="3"/>
        <v>6.3</v>
      </c>
      <c r="B148" s="147" t="s">
        <v>279</v>
      </c>
      <c r="C148" s="147"/>
      <c r="D148" s="147"/>
      <c r="E148" s="147"/>
      <c r="F148" s="147"/>
      <c r="G148" s="147"/>
      <c r="H148" s="147"/>
      <c r="I148" s="147"/>
      <c r="J148" s="147"/>
      <c r="K148" s="147"/>
      <c r="L148" s="147"/>
      <c r="M148" s="147"/>
      <c r="N148" s="147"/>
      <c r="O148" s="147"/>
      <c r="P148" s="147"/>
      <c r="Q148" s="147"/>
      <c r="R148" s="147"/>
    </row>
    <row r="149" spans="1:18" x14ac:dyDescent="0.35">
      <c r="A149" s="149" t="str">
        <f t="shared" si="3"/>
        <v>6.4</v>
      </c>
      <c r="B149" s="147" t="s">
        <v>508</v>
      </c>
      <c r="C149" s="147"/>
      <c r="D149" s="147"/>
      <c r="E149" s="147"/>
      <c r="F149" s="147"/>
      <c r="G149" s="147"/>
      <c r="H149" s="147"/>
      <c r="I149" s="147"/>
      <c r="J149" s="147"/>
      <c r="K149" s="147"/>
      <c r="L149" s="147"/>
      <c r="M149" s="147"/>
      <c r="N149" s="147"/>
      <c r="O149" s="147"/>
      <c r="P149" s="147"/>
      <c r="Q149" s="147"/>
      <c r="R149" s="147"/>
    </row>
    <row r="150" spans="1:18" x14ac:dyDescent="0.35">
      <c r="A150" s="149" t="str">
        <f t="shared" si="3"/>
        <v>6.5</v>
      </c>
      <c r="B150" s="147" t="s">
        <v>509</v>
      </c>
      <c r="C150" s="147"/>
      <c r="D150" s="147"/>
      <c r="E150" s="147"/>
      <c r="F150" s="147"/>
      <c r="G150" s="147"/>
      <c r="H150" s="147"/>
      <c r="I150" s="147"/>
      <c r="J150" s="147"/>
      <c r="K150" s="147"/>
      <c r="L150" s="147"/>
      <c r="M150" s="147"/>
      <c r="N150" s="147"/>
      <c r="O150" s="147"/>
      <c r="P150" s="147"/>
      <c r="Q150" s="147"/>
      <c r="R150" s="147"/>
    </row>
    <row r="151" spans="1:18" x14ac:dyDescent="0.35">
      <c r="A151" s="149" t="str">
        <f t="shared" si="3"/>
        <v>6.6</v>
      </c>
      <c r="B151" s="147" t="s">
        <v>781</v>
      </c>
      <c r="C151" s="147"/>
      <c r="D151" s="147"/>
      <c r="E151" s="147"/>
      <c r="F151" s="147"/>
      <c r="G151" s="147"/>
      <c r="H151" s="147"/>
      <c r="I151" s="147"/>
      <c r="J151" s="147"/>
      <c r="K151" s="147"/>
      <c r="L151" s="147"/>
      <c r="M151" s="147"/>
      <c r="N151" s="147"/>
      <c r="O151" s="147"/>
      <c r="P151" s="147"/>
      <c r="Q151" s="147"/>
      <c r="R151" s="147"/>
    </row>
    <row r="152" spans="1:18" x14ac:dyDescent="0.35">
      <c r="A152" s="149" t="str">
        <f t="shared" si="3"/>
        <v>6.7</v>
      </c>
      <c r="B152" s="147" t="s">
        <v>782</v>
      </c>
      <c r="C152" s="147"/>
      <c r="D152" s="147"/>
      <c r="E152" s="147"/>
      <c r="F152" s="147"/>
      <c r="G152" s="147"/>
      <c r="H152" s="147"/>
      <c r="I152" s="147"/>
      <c r="J152" s="147"/>
      <c r="K152" s="147"/>
      <c r="L152" s="147"/>
      <c r="M152" s="147"/>
      <c r="N152" s="147"/>
      <c r="O152" s="147"/>
      <c r="P152" s="147"/>
      <c r="Q152" s="147"/>
      <c r="R152" s="147"/>
    </row>
    <row r="153" spans="1:18" x14ac:dyDescent="0.35">
      <c r="A153" s="149" t="str">
        <f t="shared" si="3"/>
        <v>6.8</v>
      </c>
      <c r="B153" s="147" t="s">
        <v>783</v>
      </c>
      <c r="C153" s="147"/>
      <c r="D153" s="147"/>
      <c r="E153" s="147"/>
      <c r="F153" s="147"/>
      <c r="G153" s="147"/>
      <c r="H153" s="147"/>
      <c r="I153" s="147"/>
      <c r="J153" s="147"/>
      <c r="K153" s="147"/>
      <c r="L153" s="147"/>
      <c r="M153" s="147"/>
      <c r="N153" s="147"/>
      <c r="O153" s="147"/>
      <c r="P153" s="147"/>
      <c r="Q153" s="147"/>
      <c r="R153" s="147"/>
    </row>
    <row r="154" spans="1:18" x14ac:dyDescent="0.35">
      <c r="A154" s="150" t="str">
        <f t="shared" si="3"/>
        <v>6.9</v>
      </c>
      <c r="B154" s="148" t="s">
        <v>758</v>
      </c>
      <c r="C154" s="147"/>
      <c r="D154" s="147"/>
      <c r="E154" s="147"/>
      <c r="F154" s="147"/>
      <c r="G154" s="147"/>
      <c r="H154" s="147"/>
      <c r="I154" s="147"/>
      <c r="J154" s="147"/>
      <c r="K154" s="147"/>
      <c r="L154" s="147"/>
      <c r="M154" s="147"/>
      <c r="N154" s="147"/>
      <c r="O154" s="147"/>
      <c r="P154" s="147"/>
      <c r="Q154" s="147"/>
      <c r="R154" s="147"/>
    </row>
    <row r="155" spans="1:18" x14ac:dyDescent="0.35">
      <c r="A155" s="149" t="str">
        <f t="shared" si="3"/>
        <v>6.10</v>
      </c>
      <c r="B155" s="147" t="s">
        <v>514</v>
      </c>
      <c r="C155" s="147"/>
      <c r="D155" s="147"/>
      <c r="E155" s="147"/>
      <c r="F155" s="147"/>
      <c r="G155" s="147"/>
      <c r="H155" s="147"/>
      <c r="I155" s="147"/>
      <c r="J155" s="147"/>
      <c r="K155" s="147"/>
      <c r="L155" s="147"/>
      <c r="M155" s="147"/>
      <c r="N155" s="147"/>
      <c r="O155" s="147"/>
      <c r="P155" s="147"/>
      <c r="Q155" s="147"/>
      <c r="R155" s="147"/>
    </row>
    <row r="156" spans="1:18" ht="33" customHeight="1" x14ac:dyDescent="0.35">
      <c r="A156" s="149" t="str">
        <f t="shared" si="3"/>
        <v>6.11</v>
      </c>
      <c r="B156" s="147" t="s">
        <v>784</v>
      </c>
      <c r="C156" s="147"/>
      <c r="D156" s="147"/>
      <c r="E156" s="147"/>
      <c r="F156" s="147"/>
      <c r="G156" s="147"/>
      <c r="H156" s="147"/>
      <c r="I156" s="147"/>
      <c r="J156" s="147"/>
      <c r="K156" s="147"/>
      <c r="L156" s="147"/>
      <c r="M156" s="147"/>
      <c r="N156" s="147"/>
      <c r="O156" s="147"/>
      <c r="P156" s="147"/>
      <c r="Q156" s="147"/>
      <c r="R156" s="147"/>
    </row>
    <row r="157" spans="1:18" x14ac:dyDescent="0.35">
      <c r="A157" s="149" t="str">
        <f t="shared" si="3"/>
        <v>6.12</v>
      </c>
      <c r="B157" s="154" t="s">
        <v>879</v>
      </c>
      <c r="C157" s="147"/>
      <c r="D157" s="147"/>
      <c r="E157" s="147"/>
      <c r="F157" s="147"/>
      <c r="G157" s="147"/>
      <c r="H157" s="147"/>
      <c r="I157" s="147"/>
      <c r="J157" s="147"/>
      <c r="K157" s="147"/>
      <c r="L157" s="147"/>
      <c r="M157" s="147"/>
      <c r="N157" s="147"/>
      <c r="O157" s="147"/>
      <c r="P157" s="147"/>
      <c r="Q157" s="147"/>
      <c r="R157" s="147"/>
    </row>
    <row r="158" spans="1:18" x14ac:dyDescent="0.35">
      <c r="A158" s="149" t="str">
        <f t="shared" si="3"/>
        <v>6.13</v>
      </c>
      <c r="B158" s="154" t="s">
        <v>880</v>
      </c>
      <c r="C158" s="147"/>
      <c r="D158" s="147"/>
      <c r="E158" s="147"/>
      <c r="F158" s="147"/>
      <c r="G158" s="147"/>
      <c r="H158" s="147"/>
      <c r="I158" s="147"/>
      <c r="J158" s="147"/>
      <c r="K158" s="147"/>
      <c r="L158" s="147"/>
      <c r="M158" s="147"/>
      <c r="N158" s="147"/>
      <c r="O158" s="147"/>
      <c r="P158" s="147"/>
      <c r="Q158" s="147"/>
      <c r="R158" s="147"/>
    </row>
    <row r="159" spans="1:18" x14ac:dyDescent="0.35">
      <c r="A159" s="149" t="str">
        <f t="shared" si="3"/>
        <v>6.14</v>
      </c>
      <c r="B159" s="154" t="s">
        <v>881</v>
      </c>
      <c r="C159" s="147"/>
      <c r="D159" s="147"/>
      <c r="E159" s="147"/>
      <c r="F159" s="147"/>
      <c r="G159" s="147"/>
      <c r="H159" s="147"/>
      <c r="I159" s="147"/>
      <c r="J159" s="147"/>
      <c r="K159" s="147"/>
      <c r="L159" s="147"/>
      <c r="M159" s="147"/>
      <c r="N159" s="147"/>
      <c r="O159" s="147"/>
      <c r="P159" s="147"/>
      <c r="Q159" s="147"/>
      <c r="R159" s="147"/>
    </row>
    <row r="160" spans="1:18" x14ac:dyDescent="0.35">
      <c r="A160" s="149" t="str">
        <f t="shared" si="3"/>
        <v>6.15</v>
      </c>
      <c r="B160" s="154" t="s">
        <v>882</v>
      </c>
      <c r="C160" s="147"/>
      <c r="D160" s="147"/>
      <c r="E160" s="147"/>
      <c r="F160" s="147"/>
      <c r="G160" s="147"/>
      <c r="H160" s="147"/>
      <c r="I160" s="147"/>
      <c r="J160" s="147"/>
      <c r="K160" s="147"/>
      <c r="L160" s="147"/>
      <c r="M160" s="147"/>
      <c r="N160" s="147"/>
      <c r="O160" s="147"/>
      <c r="P160" s="147"/>
      <c r="Q160" s="147"/>
      <c r="R160" s="147"/>
    </row>
    <row r="161" spans="1:18" x14ac:dyDescent="0.35">
      <c r="A161" s="149" t="str">
        <f t="shared" si="3"/>
        <v>6.16</v>
      </c>
      <c r="B161" s="154" t="s">
        <v>883</v>
      </c>
      <c r="C161" s="147"/>
      <c r="D161" s="147"/>
      <c r="E161" s="147"/>
      <c r="F161" s="147"/>
      <c r="G161" s="147"/>
      <c r="H161" s="147"/>
      <c r="I161" s="147"/>
      <c r="J161" s="147"/>
      <c r="K161" s="147"/>
      <c r="L161" s="147"/>
      <c r="M161" s="147"/>
      <c r="N161" s="147"/>
      <c r="O161" s="147"/>
      <c r="P161" s="147"/>
      <c r="Q161" s="147"/>
      <c r="R161" s="147"/>
    </row>
    <row r="162" spans="1:18" x14ac:dyDescent="0.35">
      <c r="A162" s="149" t="str">
        <f t="shared" si="3"/>
        <v>6.17</v>
      </c>
      <c r="B162" s="154" t="s">
        <v>884</v>
      </c>
      <c r="C162" s="147"/>
      <c r="D162" s="147"/>
      <c r="E162" s="147"/>
      <c r="F162" s="147"/>
      <c r="G162" s="147"/>
      <c r="H162" s="147"/>
      <c r="I162" s="147"/>
      <c r="J162" s="147"/>
      <c r="K162" s="147"/>
      <c r="L162" s="147"/>
      <c r="M162" s="147"/>
      <c r="N162" s="147"/>
      <c r="O162" s="147"/>
      <c r="P162" s="147"/>
      <c r="Q162" s="147"/>
      <c r="R162" s="147"/>
    </row>
    <row r="163" spans="1:18" x14ac:dyDescent="0.35">
      <c r="A163" s="149" t="str">
        <f t="shared" si="3"/>
        <v>6.18</v>
      </c>
      <c r="B163" s="154" t="s">
        <v>885</v>
      </c>
      <c r="C163" s="147"/>
      <c r="D163" s="147"/>
      <c r="E163" s="147"/>
      <c r="F163" s="147"/>
      <c r="G163" s="147"/>
      <c r="H163" s="147"/>
      <c r="I163" s="147"/>
      <c r="J163" s="147"/>
      <c r="K163" s="147"/>
      <c r="L163" s="147"/>
      <c r="M163" s="147"/>
      <c r="N163" s="147"/>
      <c r="O163" s="147"/>
      <c r="P163" s="147"/>
      <c r="Q163" s="147"/>
      <c r="R163" s="147"/>
    </row>
    <row r="164" spans="1:18" x14ac:dyDescent="0.35">
      <c r="A164" s="149" t="str">
        <f t="shared" si="3"/>
        <v>6.19</v>
      </c>
      <c r="B164" s="154" t="s">
        <v>886</v>
      </c>
      <c r="C164" s="147"/>
      <c r="D164" s="147"/>
      <c r="E164" s="147"/>
      <c r="F164" s="147"/>
      <c r="G164" s="147"/>
      <c r="H164" s="147"/>
      <c r="I164" s="147"/>
      <c r="J164" s="147"/>
      <c r="K164" s="147"/>
      <c r="L164" s="147"/>
      <c r="M164" s="147"/>
      <c r="N164" s="147"/>
      <c r="O164" s="147"/>
      <c r="P164" s="147"/>
      <c r="Q164" s="147"/>
      <c r="R164" s="147"/>
    </row>
    <row r="165" spans="1:18" x14ac:dyDescent="0.35">
      <c r="A165" s="149" t="str">
        <f t="shared" si="3"/>
        <v>6.20</v>
      </c>
      <c r="B165" s="154" t="s">
        <v>887</v>
      </c>
      <c r="C165" s="147"/>
      <c r="D165" s="147"/>
      <c r="E165" s="147"/>
      <c r="F165" s="147"/>
      <c r="G165" s="147"/>
      <c r="H165" s="147"/>
      <c r="I165" s="147"/>
      <c r="J165" s="147"/>
      <c r="K165" s="147"/>
      <c r="L165" s="147"/>
      <c r="M165" s="147"/>
      <c r="N165" s="147"/>
      <c r="O165" s="147"/>
      <c r="P165" s="147"/>
      <c r="Q165" s="147"/>
      <c r="R165" s="147"/>
    </row>
    <row r="166" spans="1:18" x14ac:dyDescent="0.35">
      <c r="A166" s="149" t="str">
        <f t="shared" si="3"/>
        <v>6.21</v>
      </c>
      <c r="B166" s="154" t="s">
        <v>888</v>
      </c>
      <c r="C166" s="147"/>
      <c r="D166" s="147"/>
      <c r="E166" s="147"/>
      <c r="F166" s="147"/>
      <c r="G166" s="147"/>
      <c r="H166" s="147"/>
      <c r="I166" s="147"/>
      <c r="J166" s="147"/>
      <c r="K166" s="147"/>
      <c r="L166" s="147"/>
      <c r="M166" s="147"/>
      <c r="N166" s="147"/>
      <c r="O166" s="147"/>
      <c r="P166" s="147"/>
      <c r="Q166" s="147"/>
      <c r="R166" s="147"/>
    </row>
    <row r="167" spans="1:18" x14ac:dyDescent="0.35">
      <c r="A167" s="149" t="str">
        <f t="shared" si="3"/>
        <v>6.22</v>
      </c>
      <c r="B167" s="154" t="s">
        <v>889</v>
      </c>
      <c r="C167" s="147"/>
      <c r="D167" s="147"/>
      <c r="E167" s="147"/>
      <c r="F167" s="147"/>
      <c r="G167" s="147"/>
      <c r="H167" s="147"/>
      <c r="I167" s="147"/>
      <c r="J167" s="147"/>
      <c r="K167" s="147"/>
      <c r="L167" s="147"/>
      <c r="M167" s="147"/>
      <c r="N167" s="147"/>
      <c r="O167" s="147"/>
      <c r="P167" s="147"/>
      <c r="Q167" s="147"/>
      <c r="R167" s="147"/>
    </row>
    <row r="168" spans="1:18" x14ac:dyDescent="0.35">
      <c r="A168" s="149" t="str">
        <f t="shared" si="3"/>
        <v>6.23</v>
      </c>
      <c r="B168" s="154" t="s">
        <v>890</v>
      </c>
      <c r="C168" s="147"/>
      <c r="D168" s="147"/>
      <c r="E168" s="147"/>
      <c r="F168" s="147"/>
      <c r="G168" s="147"/>
      <c r="H168" s="147"/>
      <c r="I168" s="147"/>
      <c r="J168" s="147"/>
      <c r="K168" s="147"/>
      <c r="L168" s="147"/>
      <c r="M168" s="147"/>
      <c r="N168" s="147"/>
      <c r="O168" s="147"/>
      <c r="P168" s="147"/>
      <c r="Q168" s="147"/>
      <c r="R168" s="147"/>
    </row>
    <row r="169" spans="1:18" x14ac:dyDescent="0.35">
      <c r="A169" s="149" t="str">
        <f t="shared" si="3"/>
        <v>6.24</v>
      </c>
      <c r="B169" s="154" t="s">
        <v>891</v>
      </c>
      <c r="C169" s="147"/>
      <c r="D169" s="147"/>
      <c r="E169" s="147"/>
      <c r="F169" s="147"/>
      <c r="G169" s="147"/>
      <c r="H169" s="147"/>
      <c r="I169" s="147"/>
      <c r="J169" s="147"/>
      <c r="K169" s="147"/>
      <c r="L169" s="147"/>
      <c r="M169" s="147"/>
      <c r="N169" s="147"/>
      <c r="O169" s="147"/>
      <c r="P169" s="147"/>
      <c r="Q169" s="147"/>
      <c r="R169" s="147"/>
    </row>
    <row r="170" spans="1:18" x14ac:dyDescent="0.35">
      <c r="A170" s="149" t="str">
        <f t="shared" si="3"/>
        <v>6.25</v>
      </c>
      <c r="B170" s="154" t="s">
        <v>892</v>
      </c>
      <c r="C170" s="147"/>
      <c r="D170" s="147"/>
      <c r="E170" s="147"/>
      <c r="F170" s="147"/>
      <c r="G170" s="147"/>
      <c r="H170" s="147"/>
      <c r="I170" s="147"/>
      <c r="J170" s="147"/>
      <c r="K170" s="147"/>
      <c r="L170" s="147"/>
      <c r="M170" s="147"/>
      <c r="N170" s="147"/>
      <c r="O170" s="147"/>
      <c r="P170" s="147"/>
      <c r="Q170" s="147"/>
      <c r="R170" s="147"/>
    </row>
    <row r="171" spans="1:18" x14ac:dyDescent="0.35">
      <c r="A171" s="149" t="str">
        <f t="shared" si="3"/>
        <v>6.26</v>
      </c>
      <c r="B171" s="147" t="s">
        <v>640</v>
      </c>
      <c r="C171" s="147"/>
      <c r="D171" s="147"/>
      <c r="E171" s="147"/>
      <c r="F171" s="147"/>
      <c r="G171" s="147"/>
      <c r="H171" s="147"/>
      <c r="I171" s="147"/>
      <c r="J171" s="147"/>
      <c r="K171" s="147"/>
      <c r="L171" s="147"/>
      <c r="M171" s="147"/>
      <c r="N171" s="147"/>
      <c r="O171" s="147"/>
      <c r="P171" s="147"/>
      <c r="Q171" s="147"/>
      <c r="R171" s="147"/>
    </row>
    <row r="172" spans="1:18" x14ac:dyDescent="0.35">
      <c r="A172" s="149" t="str">
        <f t="shared" si="3"/>
        <v>6.27</v>
      </c>
      <c r="B172" s="147" t="s">
        <v>822</v>
      </c>
      <c r="C172" s="147"/>
      <c r="D172" s="147"/>
      <c r="E172" s="147"/>
      <c r="F172" s="147"/>
      <c r="G172" s="147"/>
      <c r="H172" s="147"/>
      <c r="I172" s="147"/>
      <c r="J172" s="147"/>
      <c r="K172" s="147"/>
      <c r="L172" s="147"/>
      <c r="M172" s="147"/>
      <c r="N172" s="147"/>
      <c r="O172" s="147"/>
      <c r="P172" s="147"/>
      <c r="Q172" s="147"/>
      <c r="R172" s="147"/>
    </row>
    <row r="173" spans="1:18" x14ac:dyDescent="0.35">
      <c r="A173" s="149" t="str">
        <f t="shared" si="3"/>
        <v>6.28</v>
      </c>
      <c r="B173" s="147" t="s">
        <v>785</v>
      </c>
      <c r="C173" s="147"/>
      <c r="D173" s="147"/>
      <c r="E173" s="147"/>
      <c r="F173" s="147"/>
      <c r="G173" s="147"/>
      <c r="H173" s="147"/>
      <c r="I173" s="147"/>
      <c r="J173" s="147"/>
      <c r="K173" s="147"/>
      <c r="L173" s="147"/>
      <c r="M173" s="147"/>
      <c r="N173" s="147"/>
      <c r="O173" s="147"/>
      <c r="P173" s="147"/>
      <c r="Q173" s="147"/>
      <c r="R173" s="147"/>
    </row>
    <row r="174" spans="1:18" x14ac:dyDescent="0.35">
      <c r="A174" s="150" t="str">
        <f t="shared" si="3"/>
        <v>6.29</v>
      </c>
      <c r="B174" s="148" t="s">
        <v>760</v>
      </c>
      <c r="C174" s="147"/>
      <c r="D174" s="147"/>
      <c r="E174" s="147"/>
      <c r="F174" s="147"/>
      <c r="G174" s="147"/>
      <c r="H174" s="147"/>
      <c r="I174" s="147"/>
      <c r="J174" s="147"/>
      <c r="K174" s="147"/>
      <c r="L174" s="147"/>
      <c r="M174" s="147"/>
      <c r="N174" s="147"/>
      <c r="O174" s="147"/>
      <c r="P174" s="147"/>
      <c r="Q174" s="147"/>
      <c r="R174" s="147"/>
    </row>
    <row r="175" spans="1:18" x14ac:dyDescent="0.35">
      <c r="A175" s="14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6.30</v>
      </c>
      <c r="B175" s="147" t="s">
        <v>823</v>
      </c>
      <c r="C175" s="147"/>
      <c r="D175" s="147"/>
      <c r="E175" s="147"/>
      <c r="F175" s="147"/>
      <c r="G175" s="147"/>
      <c r="H175" s="147"/>
      <c r="I175" s="147"/>
      <c r="J175" s="147"/>
      <c r="K175" s="147"/>
      <c r="L175" s="147"/>
      <c r="M175" s="147"/>
      <c r="N175" s="147"/>
      <c r="O175" s="147"/>
      <c r="P175" s="147"/>
      <c r="Q175" s="147"/>
      <c r="R175" s="147"/>
    </row>
    <row r="176" spans="1:18" x14ac:dyDescent="0.35">
      <c r="A176" s="149" t="str">
        <f t="shared" si="3"/>
        <v>6.31</v>
      </c>
      <c r="B176" s="147" t="s">
        <v>824</v>
      </c>
      <c r="C176" s="147"/>
      <c r="D176" s="147"/>
      <c r="E176" s="147"/>
      <c r="F176" s="147"/>
      <c r="G176" s="147"/>
      <c r="H176" s="147"/>
      <c r="I176" s="147"/>
      <c r="J176" s="147"/>
      <c r="K176" s="147"/>
      <c r="L176" s="147"/>
      <c r="M176" s="147"/>
      <c r="N176" s="147"/>
      <c r="O176" s="147"/>
      <c r="P176" s="147"/>
      <c r="Q176" s="147"/>
      <c r="R176" s="147"/>
    </row>
    <row r="177" spans="1:18" x14ac:dyDescent="0.35">
      <c r="A177" s="149" t="str">
        <f t="shared" si="3"/>
        <v>6.32</v>
      </c>
      <c r="B177" s="147" t="s">
        <v>826</v>
      </c>
      <c r="C177" s="147"/>
      <c r="D177" s="147"/>
      <c r="E177" s="147"/>
      <c r="F177" s="147"/>
      <c r="G177" s="147"/>
      <c r="H177" s="147"/>
      <c r="I177" s="147"/>
      <c r="J177" s="147"/>
      <c r="K177" s="147"/>
      <c r="L177" s="147"/>
      <c r="M177" s="147"/>
      <c r="N177" s="147"/>
      <c r="O177" s="147"/>
      <c r="P177" s="147"/>
      <c r="Q177" s="147"/>
      <c r="R177" s="147"/>
    </row>
    <row r="178" spans="1:18" x14ac:dyDescent="0.35">
      <c r="A178" s="149" t="str">
        <f t="shared" si="3"/>
        <v>6.33</v>
      </c>
      <c r="B178" s="147" t="s">
        <v>825</v>
      </c>
      <c r="C178" s="147"/>
      <c r="D178" s="147"/>
      <c r="E178" s="147"/>
      <c r="F178" s="147"/>
      <c r="G178" s="147"/>
      <c r="H178" s="147"/>
      <c r="I178" s="147"/>
      <c r="J178" s="147"/>
      <c r="K178" s="147"/>
      <c r="L178" s="147"/>
      <c r="M178" s="147"/>
      <c r="N178" s="147"/>
      <c r="O178" s="147"/>
      <c r="P178" s="147"/>
      <c r="Q178" s="147"/>
      <c r="R178" s="147"/>
    </row>
    <row r="179" spans="1:18" x14ac:dyDescent="0.35">
      <c r="A179" s="149" t="str">
        <f t="shared" si="3"/>
        <v>6.34</v>
      </c>
      <c r="B179" s="147" t="s">
        <v>827</v>
      </c>
      <c r="C179" s="147"/>
      <c r="D179" s="147"/>
      <c r="E179" s="147"/>
      <c r="F179" s="147"/>
      <c r="G179" s="147"/>
      <c r="H179" s="147"/>
      <c r="I179" s="147"/>
      <c r="J179" s="147"/>
      <c r="K179" s="147"/>
      <c r="L179" s="147"/>
      <c r="M179" s="147"/>
      <c r="N179" s="147"/>
      <c r="O179" s="147"/>
      <c r="P179" s="147"/>
      <c r="Q179" s="147"/>
      <c r="R179" s="147"/>
    </row>
    <row r="180" spans="1:18" x14ac:dyDescent="0.35">
      <c r="A180" s="149" t="str">
        <f t="shared" si="3"/>
        <v>6.35</v>
      </c>
      <c r="B180" s="147" t="s">
        <v>828</v>
      </c>
      <c r="C180" s="147"/>
      <c r="D180" s="147"/>
      <c r="E180" s="147"/>
      <c r="F180" s="147"/>
      <c r="G180" s="147"/>
      <c r="H180" s="147"/>
      <c r="I180" s="147"/>
      <c r="J180" s="147"/>
      <c r="K180" s="147"/>
      <c r="L180" s="147"/>
      <c r="M180" s="147"/>
      <c r="N180" s="147"/>
      <c r="O180" s="147"/>
      <c r="P180" s="147"/>
      <c r="Q180" s="147"/>
      <c r="R180" s="147"/>
    </row>
    <row r="181" spans="1:18" x14ac:dyDescent="0.35">
      <c r="A181" s="149" t="str">
        <f t="shared" si="3"/>
        <v>6.36</v>
      </c>
      <c r="B181" s="147" t="s">
        <v>829</v>
      </c>
      <c r="C181" s="147"/>
      <c r="D181" s="147"/>
      <c r="E181" s="147"/>
      <c r="F181" s="147"/>
      <c r="G181" s="147"/>
      <c r="H181" s="147"/>
      <c r="I181" s="147"/>
      <c r="J181" s="147"/>
      <c r="K181" s="147"/>
      <c r="L181" s="147"/>
      <c r="M181" s="147"/>
      <c r="N181" s="147"/>
      <c r="O181" s="147"/>
      <c r="P181" s="147"/>
      <c r="Q181" s="147"/>
      <c r="R181" s="147"/>
    </row>
    <row r="182" spans="1:18" x14ac:dyDescent="0.35">
      <c r="A182" s="149" t="str">
        <f t="shared" si="3"/>
        <v>6.37</v>
      </c>
      <c r="B182" s="147" t="s">
        <v>830</v>
      </c>
      <c r="C182" s="147"/>
      <c r="D182" s="147"/>
      <c r="E182" s="147"/>
      <c r="F182" s="147"/>
      <c r="G182" s="147"/>
      <c r="H182" s="147"/>
      <c r="I182" s="147"/>
      <c r="J182" s="147"/>
      <c r="K182" s="147"/>
      <c r="L182" s="147"/>
      <c r="M182" s="147"/>
      <c r="N182" s="147"/>
      <c r="O182" s="147"/>
      <c r="P182" s="147"/>
      <c r="Q182" s="147"/>
      <c r="R182" s="147"/>
    </row>
    <row r="183" spans="1:18" x14ac:dyDescent="0.35">
      <c r="A183" s="149" t="str">
        <f t="shared" si="3"/>
        <v>6.38</v>
      </c>
      <c r="B183" s="147" t="s">
        <v>833</v>
      </c>
      <c r="C183" s="147"/>
      <c r="D183" s="147"/>
      <c r="E183" s="147"/>
      <c r="F183" s="147"/>
      <c r="G183" s="147"/>
      <c r="H183" s="147"/>
      <c r="I183" s="147"/>
      <c r="J183" s="147"/>
      <c r="K183" s="147"/>
      <c r="L183" s="147"/>
      <c r="M183" s="147"/>
      <c r="N183" s="147"/>
      <c r="O183" s="147"/>
      <c r="P183" s="147"/>
      <c r="Q183" s="147"/>
      <c r="R183" s="147"/>
    </row>
    <row r="184" spans="1:18" x14ac:dyDescent="0.35">
      <c r="A184" s="149" t="str">
        <f t="shared" si="3"/>
        <v>6.39</v>
      </c>
      <c r="B184" s="147" t="s">
        <v>841</v>
      </c>
      <c r="C184" s="147"/>
      <c r="D184" s="147"/>
      <c r="E184" s="147"/>
      <c r="F184" s="147"/>
      <c r="G184" s="147"/>
      <c r="H184" s="147"/>
      <c r="I184" s="147"/>
      <c r="J184" s="147"/>
      <c r="K184" s="147"/>
      <c r="L184" s="147"/>
      <c r="M184" s="147"/>
      <c r="N184" s="147"/>
      <c r="O184" s="147"/>
      <c r="P184" s="147"/>
      <c r="Q184" s="147"/>
      <c r="R184" s="147"/>
    </row>
    <row r="185" spans="1:18" x14ac:dyDescent="0.35">
      <c r="A185" s="149" t="str">
        <f t="shared" si="3"/>
        <v>6.40</v>
      </c>
      <c r="B185" s="147" t="s">
        <v>831</v>
      </c>
      <c r="C185" s="147"/>
      <c r="D185" s="147"/>
      <c r="E185" s="147"/>
      <c r="F185" s="147"/>
      <c r="G185" s="147"/>
      <c r="H185" s="147"/>
      <c r="I185" s="147"/>
      <c r="J185" s="147"/>
      <c r="K185" s="147"/>
      <c r="L185" s="147"/>
      <c r="M185" s="147"/>
      <c r="N185" s="147"/>
      <c r="O185" s="147"/>
      <c r="P185" s="147"/>
      <c r="Q185" s="147"/>
      <c r="R185" s="147"/>
    </row>
    <row r="186" spans="1:18" x14ac:dyDescent="0.35">
      <c r="A186" s="149" t="str">
        <f t="shared" si="3"/>
        <v>6.41</v>
      </c>
      <c r="B186" s="147" t="s">
        <v>832</v>
      </c>
      <c r="C186" s="147"/>
      <c r="D186" s="147"/>
      <c r="E186" s="147"/>
      <c r="F186" s="147"/>
      <c r="G186" s="147"/>
      <c r="H186" s="147"/>
      <c r="I186" s="147"/>
      <c r="J186" s="147"/>
      <c r="K186" s="147"/>
      <c r="L186" s="147"/>
      <c r="M186" s="147"/>
      <c r="N186" s="147"/>
      <c r="O186" s="147"/>
      <c r="P186" s="147"/>
      <c r="Q186" s="147"/>
      <c r="R186" s="147"/>
    </row>
    <row r="187" spans="1:18" x14ac:dyDescent="0.35">
      <c r="A187" s="149" t="str">
        <f t="shared" si="3"/>
        <v>6.42</v>
      </c>
      <c r="B187" s="147" t="s">
        <v>838</v>
      </c>
      <c r="C187" s="147"/>
      <c r="D187" s="147"/>
      <c r="E187" s="147"/>
      <c r="F187" s="147"/>
      <c r="G187" s="147"/>
      <c r="H187" s="147"/>
      <c r="I187" s="147"/>
      <c r="J187" s="147"/>
      <c r="K187" s="147"/>
      <c r="L187" s="147"/>
      <c r="M187" s="147"/>
      <c r="N187" s="147"/>
      <c r="O187" s="147"/>
      <c r="P187" s="147"/>
      <c r="Q187" s="147"/>
      <c r="R187" s="147"/>
    </row>
    <row r="188" spans="1:18" x14ac:dyDescent="0.35">
      <c r="A188" s="149" t="str">
        <f t="shared" si="3"/>
        <v>6.43</v>
      </c>
      <c r="B188" s="147" t="s">
        <v>839</v>
      </c>
      <c r="C188" s="147"/>
      <c r="D188" s="147"/>
      <c r="E188" s="147"/>
      <c r="F188" s="147"/>
      <c r="G188" s="147"/>
      <c r="H188" s="147"/>
      <c r="I188" s="147"/>
      <c r="J188" s="147"/>
      <c r="K188" s="147"/>
      <c r="L188" s="147"/>
      <c r="M188" s="147"/>
      <c r="N188" s="147"/>
      <c r="O188" s="147"/>
      <c r="P188" s="147"/>
      <c r="Q188" s="147"/>
      <c r="R188" s="147"/>
    </row>
    <row r="189" spans="1:18" x14ac:dyDescent="0.35">
      <c r="A189" s="149" t="str">
        <f t="shared" si="3"/>
        <v>6.44</v>
      </c>
      <c r="B189" s="147" t="s">
        <v>862</v>
      </c>
      <c r="C189" s="147"/>
      <c r="D189" s="147"/>
      <c r="E189" s="147"/>
      <c r="F189" s="147"/>
      <c r="G189" s="147"/>
      <c r="H189" s="147"/>
      <c r="I189" s="147"/>
      <c r="J189" s="147"/>
      <c r="K189" s="147"/>
      <c r="L189" s="147"/>
      <c r="M189" s="147"/>
      <c r="N189" s="147"/>
      <c r="O189" s="147"/>
      <c r="P189" s="147"/>
      <c r="Q189" s="147"/>
      <c r="R189" s="147"/>
    </row>
    <row r="190" spans="1:18" x14ac:dyDescent="0.35">
      <c r="A190" s="149" t="str">
        <f t="shared" si="3"/>
        <v>6.45</v>
      </c>
      <c r="B190" s="147" t="s">
        <v>840</v>
      </c>
      <c r="C190" s="147"/>
      <c r="D190" s="147"/>
      <c r="E190" s="147"/>
      <c r="F190" s="147"/>
      <c r="G190" s="147"/>
      <c r="H190" s="147"/>
      <c r="I190" s="147"/>
      <c r="J190" s="147"/>
      <c r="K190" s="147"/>
      <c r="L190" s="147"/>
      <c r="M190" s="147"/>
      <c r="N190" s="147"/>
      <c r="O190" s="147"/>
      <c r="P190" s="147"/>
      <c r="Q190" s="147"/>
      <c r="R190" s="147"/>
    </row>
    <row r="191" spans="1:18" x14ac:dyDescent="0.35">
      <c r="A191" s="149" t="str">
        <f t="shared" si="3"/>
        <v>6.46</v>
      </c>
      <c r="B191" s="147" t="s">
        <v>863</v>
      </c>
      <c r="C191" s="147"/>
      <c r="D191" s="147"/>
      <c r="E191" s="147"/>
      <c r="F191" s="147"/>
      <c r="G191" s="147"/>
      <c r="H191" s="147"/>
      <c r="I191" s="147"/>
      <c r="J191" s="147"/>
      <c r="K191" s="147"/>
      <c r="L191" s="147"/>
      <c r="M191" s="147"/>
      <c r="N191" s="147"/>
      <c r="O191" s="147"/>
      <c r="P191" s="147"/>
      <c r="Q191" s="147"/>
      <c r="R191" s="147"/>
    </row>
    <row r="192" spans="1:18" x14ac:dyDescent="0.35">
      <c r="A192" s="149" t="str">
        <f t="shared" si="3"/>
        <v>6.47</v>
      </c>
      <c r="B192" s="147" t="s">
        <v>864</v>
      </c>
      <c r="C192" s="147"/>
      <c r="D192" s="147"/>
      <c r="E192" s="147"/>
      <c r="F192" s="147"/>
      <c r="G192" s="147"/>
      <c r="H192" s="147"/>
      <c r="I192" s="147"/>
      <c r="J192" s="147"/>
      <c r="K192" s="147"/>
      <c r="L192" s="147"/>
      <c r="M192" s="147"/>
      <c r="N192" s="147"/>
      <c r="O192" s="147"/>
      <c r="P192" s="147"/>
      <c r="Q192" s="147"/>
      <c r="R192" s="147"/>
    </row>
    <row r="193" spans="1:18" x14ac:dyDescent="0.35">
      <c r="A193" s="149" t="str">
        <f t="shared" si="3"/>
        <v>6.48</v>
      </c>
      <c r="B193" s="147" t="s">
        <v>530</v>
      </c>
      <c r="C193" s="147"/>
      <c r="D193" s="147"/>
      <c r="E193" s="147"/>
      <c r="F193" s="147"/>
      <c r="G193" s="147"/>
      <c r="H193" s="147"/>
      <c r="I193" s="147"/>
      <c r="J193" s="147"/>
      <c r="K193" s="147"/>
      <c r="L193" s="147"/>
      <c r="M193" s="147"/>
      <c r="N193" s="147"/>
      <c r="O193" s="147"/>
      <c r="P193" s="147"/>
      <c r="Q193" s="147"/>
      <c r="R193" s="147"/>
    </row>
    <row r="194" spans="1:18" x14ac:dyDescent="0.35">
      <c r="A194" s="146" t="str">
        <f>IF(ISERROR(VALUE(SUBSTITUTE(prevWBS,".",""))),"1",IF(ISERROR(FIND("`",SUBSTITUTE(prevWBS,".","`",1))),TEXT(VALUE(prevWBS)+1,"#"),TEXT(VALUE(LEFT(prevWBS,FIND("`",SUBSTITUTE(prevWBS,".","`",1))-1))+1,"#")))</f>
        <v>7</v>
      </c>
      <c r="B194" s="215" t="s">
        <v>517</v>
      </c>
      <c r="C194" s="216"/>
      <c r="D194" s="216"/>
      <c r="E194" s="216"/>
      <c r="F194" s="216"/>
      <c r="G194" s="216"/>
      <c r="H194" s="216"/>
      <c r="I194" s="216"/>
      <c r="J194" s="216"/>
      <c r="K194" s="216"/>
      <c r="L194" s="216"/>
      <c r="M194" s="216"/>
      <c r="N194" s="216"/>
      <c r="O194" s="216"/>
      <c r="P194" s="216"/>
      <c r="Q194" s="216"/>
      <c r="R194" s="217"/>
    </row>
    <row r="195" spans="1:18" x14ac:dyDescent="0.35">
      <c r="A195" s="149" t="str">
        <f t="shared" si="2"/>
        <v>7.1</v>
      </c>
      <c r="B195" s="147" t="s">
        <v>786</v>
      </c>
      <c r="C195" s="147"/>
      <c r="D195" s="147"/>
      <c r="E195" s="147"/>
      <c r="F195" s="147"/>
      <c r="G195" s="147"/>
      <c r="H195" s="147"/>
      <c r="I195" s="147"/>
      <c r="J195" s="147"/>
      <c r="K195" s="147"/>
      <c r="L195" s="147"/>
      <c r="M195" s="147"/>
      <c r="N195" s="147"/>
      <c r="O195" s="147"/>
      <c r="P195" s="147"/>
      <c r="Q195" s="147"/>
      <c r="R195" s="147"/>
    </row>
    <row r="196" spans="1:18" x14ac:dyDescent="0.35">
      <c r="A196" s="149" t="str">
        <f t="shared" si="2"/>
        <v>7.2</v>
      </c>
      <c r="B196" s="147" t="s">
        <v>520</v>
      </c>
      <c r="C196" s="147"/>
      <c r="D196" s="147"/>
      <c r="E196" s="147"/>
      <c r="F196" s="147"/>
      <c r="G196" s="147"/>
      <c r="H196" s="147"/>
      <c r="I196" s="147"/>
      <c r="J196" s="147"/>
      <c r="K196" s="147"/>
      <c r="L196" s="147"/>
      <c r="M196" s="147"/>
      <c r="N196" s="147"/>
      <c r="O196" s="147"/>
      <c r="P196" s="147"/>
      <c r="Q196" s="147"/>
      <c r="R196" s="147"/>
    </row>
    <row r="197" spans="1:18" x14ac:dyDescent="0.35">
      <c r="A197" s="146" t="str">
        <f>IF(ISERROR(VALUE(SUBSTITUTE(prevWBS,".",""))),"1",IF(ISERROR(FIND("`",SUBSTITUTE(prevWBS,".","`",1))),TEXT(VALUE(prevWBS)+1,"#"),TEXT(VALUE(LEFT(prevWBS,FIND("`",SUBSTITUTE(prevWBS,".","`",1))-1))+1,"#")))</f>
        <v>8</v>
      </c>
      <c r="B197" s="215" t="s">
        <v>523</v>
      </c>
      <c r="C197" s="216"/>
      <c r="D197" s="216"/>
      <c r="E197" s="216"/>
      <c r="F197" s="216"/>
      <c r="G197" s="216"/>
      <c r="H197" s="216"/>
      <c r="I197" s="216"/>
      <c r="J197" s="216"/>
      <c r="K197" s="216"/>
      <c r="L197" s="216"/>
      <c r="M197" s="216"/>
      <c r="N197" s="216"/>
      <c r="O197" s="216"/>
      <c r="P197" s="216"/>
      <c r="Q197" s="216"/>
      <c r="R197" s="217"/>
    </row>
    <row r="198" spans="1:18" x14ac:dyDescent="0.35">
      <c r="A198" s="149" t="str">
        <f t="shared" si="2"/>
        <v>8.1</v>
      </c>
      <c r="B198" s="147" t="s">
        <v>787</v>
      </c>
      <c r="C198" s="147"/>
      <c r="D198" s="147"/>
      <c r="E198" s="147"/>
      <c r="F198" s="147"/>
      <c r="G198" s="147"/>
      <c r="H198" s="147"/>
      <c r="I198" s="147"/>
      <c r="J198" s="147"/>
      <c r="K198" s="147"/>
      <c r="L198" s="147"/>
      <c r="M198" s="147"/>
      <c r="N198" s="147"/>
      <c r="O198" s="147"/>
      <c r="P198" s="147"/>
      <c r="Q198" s="147"/>
      <c r="R198" s="147"/>
    </row>
    <row r="199" spans="1:18" x14ac:dyDescent="0.35">
      <c r="A199" s="149" t="str">
        <f t="shared" si="2"/>
        <v>8.2</v>
      </c>
      <c r="B199" s="147" t="s">
        <v>788</v>
      </c>
      <c r="C199" s="147"/>
      <c r="D199" s="147"/>
      <c r="E199" s="147"/>
      <c r="F199" s="147"/>
      <c r="G199" s="147"/>
      <c r="H199" s="147"/>
      <c r="I199" s="147"/>
      <c r="J199" s="147"/>
      <c r="K199" s="147"/>
      <c r="L199" s="147"/>
      <c r="M199" s="147"/>
      <c r="N199" s="147"/>
      <c r="O199" s="147"/>
      <c r="P199" s="147"/>
      <c r="Q199" s="147"/>
      <c r="R199" s="147"/>
    </row>
    <row r="200" spans="1:18" x14ac:dyDescent="0.35">
      <c r="A200" s="149" t="str">
        <f t="shared" si="2"/>
        <v>8.3</v>
      </c>
      <c r="B200" s="147" t="s">
        <v>789</v>
      </c>
      <c r="C200" s="147"/>
      <c r="D200" s="147"/>
      <c r="E200" s="147"/>
      <c r="F200" s="147"/>
      <c r="G200" s="147"/>
      <c r="H200" s="147"/>
      <c r="I200" s="147"/>
      <c r="J200" s="147"/>
      <c r="K200" s="147"/>
      <c r="L200" s="147"/>
      <c r="M200" s="147"/>
      <c r="N200" s="147"/>
      <c r="O200" s="147"/>
      <c r="P200" s="147"/>
      <c r="Q200" s="147"/>
      <c r="R200" s="147"/>
    </row>
    <row r="201" spans="1:18" x14ac:dyDescent="0.35">
      <c r="A201" s="149" t="str">
        <f t="shared" si="2"/>
        <v>8.4</v>
      </c>
      <c r="B201" s="147" t="s">
        <v>524</v>
      </c>
      <c r="C201" s="147"/>
      <c r="D201" s="147"/>
      <c r="E201" s="147"/>
      <c r="F201" s="147"/>
      <c r="G201" s="147"/>
      <c r="H201" s="147"/>
      <c r="I201" s="147"/>
      <c r="J201" s="147"/>
      <c r="K201" s="147"/>
      <c r="L201" s="147"/>
      <c r="M201" s="147"/>
      <c r="N201" s="147"/>
      <c r="O201" s="147"/>
      <c r="P201" s="147"/>
      <c r="Q201" s="147"/>
      <c r="R201" s="147"/>
    </row>
  </sheetData>
  <mergeCells count="13">
    <mergeCell ref="K1:R1"/>
    <mergeCell ref="A1:B1"/>
    <mergeCell ref="C1:J1"/>
    <mergeCell ref="B114:R114"/>
    <mergeCell ref="B136:R136"/>
    <mergeCell ref="A34:A39"/>
    <mergeCell ref="B145:R145"/>
    <mergeCell ref="B194:R194"/>
    <mergeCell ref="B197:R197"/>
    <mergeCell ref="B3:R3"/>
    <mergeCell ref="B23:R23"/>
    <mergeCell ref="B33:R33"/>
    <mergeCell ref="B64:R64"/>
  </mergeCells>
  <printOptions horizontalCentered="1"/>
  <pageMargins left="0.31496062992125984" right="0.31496062992125984" top="0.35433070866141736" bottom="0.35433070866141736" header="0.31496062992125984" footer="0.31496062992125984"/>
  <pageSetup paperSize="9" scale="80" fitToHeight="5000" orientation="landscape" r:id="rId1"/>
  <rowBreaks count="5" manualBreakCount="5">
    <brk id="63" max="16383" man="1"/>
    <brk id="93" max="16383" man="1"/>
    <brk id="123" max="17" man="1"/>
    <brk id="144" max="16383" man="1"/>
    <brk id="17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B7CC-AC0E-490B-8CB3-0CF1939E8012}">
  <sheetPr>
    <tabColor rgb="FFFFFF00"/>
    <pageSetUpPr fitToPage="1"/>
  </sheetPr>
  <dimension ref="A2:F18"/>
  <sheetViews>
    <sheetView view="pageBreakPreview" topLeftCell="A11" zoomScaleNormal="100" zoomScaleSheetLayoutView="100" workbookViewId="0">
      <selection activeCell="H7" sqref="H7"/>
    </sheetView>
  </sheetViews>
  <sheetFormatPr defaultRowHeight="15" x14ac:dyDescent="0.25"/>
  <cols>
    <col min="1" max="1" width="7.7109375" style="83" customWidth="1"/>
    <col min="2" max="2" width="17" style="83" customWidth="1"/>
    <col min="3" max="3" width="59.7109375" style="83" customWidth="1"/>
    <col min="4" max="4" width="12.7109375" style="83" customWidth="1"/>
    <col min="5" max="5" width="20.7109375" style="83" customWidth="1"/>
    <col min="6" max="6" width="21.28515625" style="83" customWidth="1"/>
    <col min="7" max="7" width="9.140625" style="83"/>
    <col min="8" max="8" width="9.140625" style="83" customWidth="1"/>
    <col min="9" max="16384" width="9.140625" style="83"/>
  </cols>
  <sheetData>
    <row r="2" spans="1:6" ht="26.25" customHeight="1" x14ac:dyDescent="0.25">
      <c r="A2" s="224" t="s">
        <v>457</v>
      </c>
      <c r="B2" s="225"/>
      <c r="C2" s="225"/>
      <c r="D2" s="225"/>
      <c r="E2" s="225"/>
      <c r="F2" s="226"/>
    </row>
    <row r="4" spans="1:6" s="84" customFormat="1" ht="35.25" customHeight="1" x14ac:dyDescent="0.25">
      <c r="A4" s="87" t="s">
        <v>435</v>
      </c>
      <c r="B4" s="229" t="s">
        <v>411</v>
      </c>
      <c r="C4" s="230"/>
      <c r="D4" s="90" t="s">
        <v>465</v>
      </c>
      <c r="E4" s="87" t="s">
        <v>412</v>
      </c>
      <c r="F4" s="87" t="s">
        <v>413</v>
      </c>
    </row>
    <row r="5" spans="1:6" ht="27" customHeight="1" x14ac:dyDescent="0.25">
      <c r="A5" s="85" t="s">
        <v>129</v>
      </c>
      <c r="B5" s="227" t="s">
        <v>417</v>
      </c>
      <c r="C5" s="228"/>
      <c r="D5" s="85" t="s">
        <v>129</v>
      </c>
      <c r="E5" s="85" t="s">
        <v>129</v>
      </c>
      <c r="F5" s="85" t="s">
        <v>129</v>
      </c>
    </row>
    <row r="6" spans="1:6" ht="49.5" customHeight="1" x14ac:dyDescent="0.25">
      <c r="A6" s="85">
        <v>1</v>
      </c>
      <c r="B6" s="227" t="s">
        <v>705</v>
      </c>
      <c r="C6" s="228"/>
      <c r="D6" s="160">
        <v>0.1</v>
      </c>
      <c r="E6" s="85" t="s">
        <v>407</v>
      </c>
      <c r="F6" s="86" t="s">
        <v>467</v>
      </c>
    </row>
    <row r="7" spans="1:6" ht="281.25" customHeight="1" x14ac:dyDescent="0.25">
      <c r="A7" s="85">
        <f>+A6+1</f>
        <v>2</v>
      </c>
      <c r="B7" s="88" t="s">
        <v>409</v>
      </c>
      <c r="C7" s="89" t="s">
        <v>726</v>
      </c>
      <c r="D7" s="92">
        <v>0.1</v>
      </c>
      <c r="E7" s="85" t="s">
        <v>408</v>
      </c>
      <c r="F7" s="85" t="s">
        <v>468</v>
      </c>
    </row>
    <row r="8" spans="1:6" ht="20.100000000000001" customHeight="1" x14ac:dyDescent="0.25">
      <c r="A8" s="231">
        <f>+A7+1</f>
        <v>3</v>
      </c>
      <c r="B8" s="234" t="s">
        <v>410</v>
      </c>
      <c r="C8" s="89" t="s">
        <v>709</v>
      </c>
      <c r="D8" s="92">
        <v>0.05</v>
      </c>
      <c r="E8" s="231" t="s">
        <v>407</v>
      </c>
      <c r="F8" s="237" t="s">
        <v>469</v>
      </c>
    </row>
    <row r="9" spans="1:6" ht="20.100000000000001" customHeight="1" x14ac:dyDescent="0.25">
      <c r="A9" s="232"/>
      <c r="B9" s="235"/>
      <c r="C9" s="89" t="s">
        <v>694</v>
      </c>
      <c r="D9" s="92">
        <v>2.5000000000000001E-2</v>
      </c>
      <c r="E9" s="232"/>
      <c r="F9" s="238"/>
    </row>
    <row r="10" spans="1:6" ht="20.100000000000001" customHeight="1" x14ac:dyDescent="0.25">
      <c r="A10" s="233"/>
      <c r="B10" s="236"/>
      <c r="C10" s="89" t="s">
        <v>695</v>
      </c>
      <c r="D10" s="92">
        <v>0.05</v>
      </c>
      <c r="E10" s="233"/>
      <c r="F10" s="239"/>
    </row>
    <row r="11" spans="1:6" ht="269.25" customHeight="1" x14ac:dyDescent="0.25">
      <c r="A11" s="85">
        <f>+A8+1</f>
        <v>4</v>
      </c>
      <c r="B11" s="88" t="s">
        <v>197</v>
      </c>
      <c r="C11" s="89" t="s">
        <v>710</v>
      </c>
      <c r="D11" s="92">
        <v>0.1</v>
      </c>
      <c r="E11" s="85" t="s">
        <v>408</v>
      </c>
      <c r="F11" s="86" t="s">
        <v>470</v>
      </c>
    </row>
    <row r="12" spans="1:6" ht="51.75" customHeight="1" x14ac:dyDescent="0.25">
      <c r="A12" s="85">
        <f t="shared" ref="A12:A17" si="0">+A11+1</f>
        <v>5</v>
      </c>
      <c r="B12" s="227" t="s">
        <v>561</v>
      </c>
      <c r="C12" s="228"/>
      <c r="D12" s="92">
        <v>0.15</v>
      </c>
      <c r="E12" s="85" t="s">
        <v>407</v>
      </c>
      <c r="F12" s="86" t="s">
        <v>471</v>
      </c>
    </row>
    <row r="13" spans="1:6" ht="20.100000000000001" customHeight="1" x14ac:dyDescent="0.25">
      <c r="A13" s="231">
        <f>+A12+1</f>
        <v>6</v>
      </c>
      <c r="B13" s="234" t="s">
        <v>414</v>
      </c>
      <c r="C13" s="89" t="s">
        <v>725</v>
      </c>
      <c r="D13" s="92">
        <v>0.1</v>
      </c>
      <c r="E13" s="231" t="s">
        <v>407</v>
      </c>
      <c r="F13" s="237" t="s">
        <v>487</v>
      </c>
    </row>
    <row r="14" spans="1:6" ht="20.100000000000001" customHeight="1" x14ac:dyDescent="0.25">
      <c r="A14" s="232"/>
      <c r="B14" s="235"/>
      <c r="C14" s="89" t="s">
        <v>696</v>
      </c>
      <c r="D14" s="92">
        <v>2.5000000000000001E-2</v>
      </c>
      <c r="E14" s="232"/>
      <c r="F14" s="238"/>
    </row>
    <row r="15" spans="1:6" ht="20.100000000000001" customHeight="1" x14ac:dyDescent="0.25">
      <c r="A15" s="233"/>
      <c r="B15" s="236"/>
      <c r="C15" s="89" t="s">
        <v>697</v>
      </c>
      <c r="D15" s="92">
        <v>0.05</v>
      </c>
      <c r="E15" s="233"/>
      <c r="F15" s="239"/>
    </row>
    <row r="16" spans="1:6" ht="54.75" customHeight="1" x14ac:dyDescent="0.25">
      <c r="A16" s="85">
        <f>+A13+1</f>
        <v>7</v>
      </c>
      <c r="B16" s="227" t="s">
        <v>416</v>
      </c>
      <c r="C16" s="228"/>
      <c r="D16" s="92">
        <v>0.1</v>
      </c>
      <c r="E16" s="85" t="s">
        <v>407</v>
      </c>
      <c r="F16" s="86" t="s">
        <v>472</v>
      </c>
    </row>
    <row r="17" spans="1:6" ht="54" customHeight="1" x14ac:dyDescent="0.25">
      <c r="A17" s="85">
        <f t="shared" si="0"/>
        <v>8</v>
      </c>
      <c r="B17" s="227" t="s">
        <v>415</v>
      </c>
      <c r="C17" s="228"/>
      <c r="D17" s="92">
        <v>0.1</v>
      </c>
      <c r="E17" s="85" t="s">
        <v>407</v>
      </c>
      <c r="F17" s="86" t="s">
        <v>473</v>
      </c>
    </row>
    <row r="18" spans="1:6" ht="36" customHeight="1" x14ac:dyDescent="0.25">
      <c r="A18" s="85" t="s">
        <v>129</v>
      </c>
      <c r="B18" s="227" t="s">
        <v>466</v>
      </c>
      <c r="C18" s="228"/>
      <c r="D18" s="92">
        <v>0.05</v>
      </c>
      <c r="E18" s="85" t="s">
        <v>129</v>
      </c>
      <c r="F18" s="85" t="s">
        <v>129</v>
      </c>
    </row>
  </sheetData>
  <mergeCells count="16">
    <mergeCell ref="B18:C18"/>
    <mergeCell ref="E8:E10"/>
    <mergeCell ref="B8:B10"/>
    <mergeCell ref="A8:A10"/>
    <mergeCell ref="F8:F10"/>
    <mergeCell ref="A13:A15"/>
    <mergeCell ref="B13:B15"/>
    <mergeCell ref="E13:E15"/>
    <mergeCell ref="F13:F15"/>
    <mergeCell ref="B16:C16"/>
    <mergeCell ref="B17:C17"/>
    <mergeCell ref="A2:F2"/>
    <mergeCell ref="B5:C5"/>
    <mergeCell ref="B6:C6"/>
    <mergeCell ref="B12:C12"/>
    <mergeCell ref="B4:C4"/>
  </mergeCells>
  <printOptions horizontalCentered="1"/>
  <pageMargins left="0.51181102362204722" right="0.31496062992125984" top="0.74803149606299213" bottom="0.74803149606299213" header="0.31496062992125984" footer="0.31496062992125984"/>
  <pageSetup paperSize="9"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5CC9E-884E-4E30-AA19-7593A8AEDA81}">
  <sheetPr>
    <pageSetUpPr fitToPage="1"/>
  </sheetPr>
  <dimension ref="A1:D53"/>
  <sheetViews>
    <sheetView view="pageBreakPreview" zoomScale="85" zoomScaleNormal="100" zoomScaleSheetLayoutView="85" workbookViewId="0">
      <selection activeCell="H7" sqref="H7"/>
    </sheetView>
  </sheetViews>
  <sheetFormatPr defaultRowHeight="18" x14ac:dyDescent="0.25"/>
  <cols>
    <col min="1" max="1" width="6.5703125" style="120" customWidth="1"/>
    <col min="2" max="2" width="91.7109375" style="118" customWidth="1"/>
    <col min="3" max="3" width="37.140625" style="119" customWidth="1"/>
    <col min="4" max="4" width="8.5703125" style="119" customWidth="1"/>
    <col min="5" max="5" width="9.140625" style="118" customWidth="1"/>
    <col min="6" max="6" width="9.140625" style="118"/>
    <col min="7" max="7" width="9.140625" style="118" customWidth="1"/>
    <col min="8" max="16384" width="9.140625" style="118"/>
  </cols>
  <sheetData>
    <row r="1" spans="1:4" s="117" customFormat="1" ht="27.75" customHeight="1" x14ac:dyDescent="0.25">
      <c r="A1" s="255" t="s">
        <v>720</v>
      </c>
      <c r="B1" s="256"/>
      <c r="C1" s="256"/>
      <c r="D1" s="257"/>
    </row>
    <row r="2" spans="1:4" ht="11.25" customHeight="1" x14ac:dyDescent="0.25"/>
    <row r="3" spans="1:4" s="117" customFormat="1" ht="33.75" customHeight="1" x14ac:dyDescent="0.25">
      <c r="A3" s="87" t="s">
        <v>671</v>
      </c>
      <c r="B3" s="87" t="s">
        <v>653</v>
      </c>
      <c r="C3" s="229" t="s">
        <v>651</v>
      </c>
      <c r="D3" s="230"/>
    </row>
    <row r="4" spans="1:4" s="126" customFormat="1" ht="30.75" customHeight="1" x14ac:dyDescent="0.25">
      <c r="A4" s="121">
        <v>1</v>
      </c>
      <c r="B4" s="125" t="s">
        <v>721</v>
      </c>
      <c r="C4" s="248" t="s">
        <v>656</v>
      </c>
      <c r="D4" s="249"/>
    </row>
    <row r="5" spans="1:4" s="126" customFormat="1" ht="30.75" customHeight="1" x14ac:dyDescent="0.25">
      <c r="A5" s="121">
        <f>+A4+1</f>
        <v>2</v>
      </c>
      <c r="B5" s="125" t="s">
        <v>650</v>
      </c>
      <c r="C5" s="248" t="s">
        <v>656</v>
      </c>
      <c r="D5" s="249"/>
    </row>
    <row r="6" spans="1:4" s="126" customFormat="1" ht="30.75" customHeight="1" x14ac:dyDescent="0.25">
      <c r="A6" s="121">
        <f>+A5+1</f>
        <v>3</v>
      </c>
      <c r="B6" s="125" t="s">
        <v>428</v>
      </c>
      <c r="C6" s="248" t="s">
        <v>652</v>
      </c>
      <c r="D6" s="249"/>
    </row>
    <row r="7" spans="1:4" s="126" customFormat="1" ht="30.75" customHeight="1" x14ac:dyDescent="0.25">
      <c r="A7" s="121">
        <f>+A6+1</f>
        <v>4</v>
      </c>
      <c r="B7" s="240" t="s">
        <v>287</v>
      </c>
      <c r="C7" s="241"/>
      <c r="D7" s="242"/>
    </row>
    <row r="8" spans="1:4" ht="20.100000000000001" customHeight="1" x14ac:dyDescent="0.25">
      <c r="A8" s="123">
        <f>+A7+0.1</f>
        <v>4.0999999999999996</v>
      </c>
      <c r="B8" s="127" t="s">
        <v>706</v>
      </c>
      <c r="C8" s="243" t="s">
        <v>656</v>
      </c>
      <c r="D8" s="244"/>
    </row>
    <row r="9" spans="1:4" ht="20.100000000000001" customHeight="1" x14ac:dyDescent="0.25">
      <c r="A9" s="123">
        <f t="shared" ref="A9:A16" si="0">+A8+0.1</f>
        <v>4.1999999999999993</v>
      </c>
      <c r="B9" s="127" t="s">
        <v>624</v>
      </c>
      <c r="C9" s="243" t="s">
        <v>652</v>
      </c>
      <c r="D9" s="244"/>
    </row>
    <row r="10" spans="1:4" ht="20.100000000000001" customHeight="1" x14ac:dyDescent="0.25">
      <c r="A10" s="123">
        <f t="shared" si="0"/>
        <v>4.2999999999999989</v>
      </c>
      <c r="B10" s="127" t="s">
        <v>654</v>
      </c>
      <c r="C10" s="243" t="s">
        <v>676</v>
      </c>
      <c r="D10" s="244"/>
    </row>
    <row r="11" spans="1:4" ht="20.100000000000001" customHeight="1" x14ac:dyDescent="0.25">
      <c r="A11" s="123">
        <f t="shared" si="0"/>
        <v>4.3999999999999986</v>
      </c>
      <c r="B11" s="127" t="s">
        <v>589</v>
      </c>
      <c r="C11" s="243" t="s">
        <v>676</v>
      </c>
      <c r="D11" s="244"/>
    </row>
    <row r="12" spans="1:4" ht="20.100000000000001" customHeight="1" x14ac:dyDescent="0.25">
      <c r="A12" s="123">
        <f t="shared" si="0"/>
        <v>4.4999999999999982</v>
      </c>
      <c r="B12" s="127" t="s">
        <v>680</v>
      </c>
      <c r="C12" s="243" t="s">
        <v>652</v>
      </c>
      <c r="D12" s="244"/>
    </row>
    <row r="13" spans="1:4" ht="20.100000000000001" customHeight="1" x14ac:dyDescent="0.25">
      <c r="A13" s="123">
        <f t="shared" si="0"/>
        <v>4.5999999999999979</v>
      </c>
      <c r="B13" s="127" t="s">
        <v>655</v>
      </c>
      <c r="C13" s="243" t="s">
        <v>675</v>
      </c>
      <c r="D13" s="244"/>
    </row>
    <row r="14" spans="1:4" ht="20.100000000000001" customHeight="1" x14ac:dyDescent="0.25">
      <c r="A14" s="123">
        <f t="shared" si="0"/>
        <v>4.6999999999999975</v>
      </c>
      <c r="B14" s="127" t="s">
        <v>658</v>
      </c>
      <c r="C14" s="243" t="s">
        <v>659</v>
      </c>
      <c r="D14" s="244"/>
    </row>
    <row r="15" spans="1:4" ht="20.100000000000001" customHeight="1" x14ac:dyDescent="0.25">
      <c r="A15" s="123">
        <f t="shared" si="0"/>
        <v>4.7999999999999972</v>
      </c>
      <c r="B15" s="127" t="s">
        <v>39</v>
      </c>
      <c r="C15" s="243" t="s">
        <v>657</v>
      </c>
      <c r="D15" s="244"/>
    </row>
    <row r="16" spans="1:4" ht="20.100000000000001" customHeight="1" x14ac:dyDescent="0.25">
      <c r="A16" s="123">
        <f t="shared" si="0"/>
        <v>4.8999999999999968</v>
      </c>
      <c r="B16" s="127" t="s">
        <v>664</v>
      </c>
      <c r="C16" s="243" t="s">
        <v>656</v>
      </c>
      <c r="D16" s="244"/>
    </row>
    <row r="17" spans="1:4" ht="20.100000000000001" customHeight="1" x14ac:dyDescent="0.25">
      <c r="A17" s="124">
        <f>+A8</f>
        <v>4.0999999999999996</v>
      </c>
      <c r="B17" s="127" t="s">
        <v>708</v>
      </c>
      <c r="C17" s="243" t="s">
        <v>656</v>
      </c>
      <c r="D17" s="244"/>
    </row>
    <row r="18" spans="1:4" s="126" customFormat="1" ht="30.75" customHeight="1" x14ac:dyDescent="0.25">
      <c r="A18" s="121">
        <f>+A7+1</f>
        <v>5</v>
      </c>
      <c r="B18" s="240" t="s">
        <v>410</v>
      </c>
      <c r="C18" s="241"/>
      <c r="D18" s="242"/>
    </row>
    <row r="19" spans="1:4" ht="20.100000000000001" customHeight="1" x14ac:dyDescent="0.25">
      <c r="A19" s="123">
        <f>+A18+0.1</f>
        <v>5.0999999999999996</v>
      </c>
      <c r="B19" s="127" t="s">
        <v>410</v>
      </c>
      <c r="C19" s="243" t="s">
        <v>656</v>
      </c>
      <c r="D19" s="244"/>
    </row>
    <row r="20" spans="1:4" ht="20.100000000000001" customHeight="1" x14ac:dyDescent="0.25">
      <c r="A20" s="123">
        <f>+A19+0.1</f>
        <v>5.1999999999999993</v>
      </c>
      <c r="B20" s="127" t="s">
        <v>719</v>
      </c>
      <c r="C20" s="243" t="s">
        <v>713</v>
      </c>
      <c r="D20" s="244"/>
    </row>
    <row r="21" spans="1:4" ht="20.100000000000001" customHeight="1" x14ac:dyDescent="0.25">
      <c r="A21" s="123">
        <f>+A20+0.1</f>
        <v>5.2999999999999989</v>
      </c>
      <c r="B21" s="127" t="s">
        <v>711</v>
      </c>
      <c r="C21" s="243" t="s">
        <v>713</v>
      </c>
      <c r="D21" s="244"/>
    </row>
    <row r="22" spans="1:4" ht="20.100000000000001" customHeight="1" x14ac:dyDescent="0.25">
      <c r="A22" s="123">
        <f t="shared" ref="A22:A24" si="1">+A21+0.1</f>
        <v>5.3999999999999986</v>
      </c>
      <c r="B22" s="127" t="s">
        <v>714</v>
      </c>
      <c r="C22" s="243" t="s">
        <v>656</v>
      </c>
      <c r="D22" s="244"/>
    </row>
    <row r="23" spans="1:4" ht="20.100000000000001" customHeight="1" x14ac:dyDescent="0.25">
      <c r="A23" s="123">
        <f t="shared" si="1"/>
        <v>5.4999999999999982</v>
      </c>
      <c r="B23" s="127" t="s">
        <v>729</v>
      </c>
      <c r="C23" s="243" t="s">
        <v>656</v>
      </c>
      <c r="D23" s="244"/>
    </row>
    <row r="24" spans="1:4" ht="20.100000000000001" customHeight="1" x14ac:dyDescent="0.25">
      <c r="A24" s="123">
        <f t="shared" si="1"/>
        <v>5.5999999999999979</v>
      </c>
      <c r="B24" s="127" t="s">
        <v>712</v>
      </c>
      <c r="C24" s="243" t="s">
        <v>656</v>
      </c>
      <c r="D24" s="244"/>
    </row>
    <row r="25" spans="1:4" s="126" customFormat="1" ht="27" customHeight="1" x14ac:dyDescent="0.25">
      <c r="A25" s="121">
        <f>+A18+1</f>
        <v>6</v>
      </c>
      <c r="B25" s="240" t="s">
        <v>339</v>
      </c>
      <c r="C25" s="241"/>
      <c r="D25" s="242"/>
    </row>
    <row r="26" spans="1:4" ht="20.100000000000001" customHeight="1" x14ac:dyDescent="0.25">
      <c r="A26" s="123">
        <f>+A25+0.1</f>
        <v>6.1</v>
      </c>
      <c r="B26" s="127" t="s">
        <v>707</v>
      </c>
      <c r="C26" s="243" t="s">
        <v>656</v>
      </c>
      <c r="D26" s="244"/>
    </row>
    <row r="27" spans="1:4" ht="20.100000000000001" customHeight="1" x14ac:dyDescent="0.25">
      <c r="A27" s="123">
        <f>+A26+0.1</f>
        <v>6.1999999999999993</v>
      </c>
      <c r="B27" s="127" t="s">
        <v>666</v>
      </c>
      <c r="C27" s="243" t="s">
        <v>657</v>
      </c>
      <c r="D27" s="244"/>
    </row>
    <row r="28" spans="1:4" ht="20.100000000000001" customHeight="1" x14ac:dyDescent="0.25">
      <c r="A28" s="123">
        <f t="shared" ref="A28:A34" si="2">+A27+0.1</f>
        <v>6.2999999999999989</v>
      </c>
      <c r="B28" s="127" t="s">
        <v>685</v>
      </c>
      <c r="C28" s="243" t="s">
        <v>652</v>
      </c>
      <c r="D28" s="244"/>
    </row>
    <row r="29" spans="1:4" ht="20.100000000000001" customHeight="1" x14ac:dyDescent="0.25">
      <c r="A29" s="123">
        <f t="shared" si="2"/>
        <v>6.3999999999999986</v>
      </c>
      <c r="B29" s="127" t="s">
        <v>592</v>
      </c>
      <c r="C29" s="243" t="s">
        <v>657</v>
      </c>
      <c r="D29" s="244"/>
    </row>
    <row r="30" spans="1:4" ht="20.100000000000001" customHeight="1" x14ac:dyDescent="0.25">
      <c r="A30" s="123">
        <f t="shared" si="2"/>
        <v>6.4999999999999982</v>
      </c>
      <c r="B30" s="127" t="s">
        <v>667</v>
      </c>
      <c r="C30" s="243" t="s">
        <v>893</v>
      </c>
      <c r="D30" s="244"/>
    </row>
    <row r="31" spans="1:4" ht="20.100000000000001" customHeight="1" x14ac:dyDescent="0.25">
      <c r="A31" s="123">
        <f t="shared" si="2"/>
        <v>6.5999999999999979</v>
      </c>
      <c r="B31" s="127" t="s">
        <v>660</v>
      </c>
      <c r="C31" s="243" t="s">
        <v>661</v>
      </c>
      <c r="D31" s="244"/>
    </row>
    <row r="32" spans="1:4" ht="20.100000000000001" customHeight="1" x14ac:dyDescent="0.25">
      <c r="A32" s="123">
        <f t="shared" si="2"/>
        <v>6.6999999999999975</v>
      </c>
      <c r="B32" s="127" t="s">
        <v>573</v>
      </c>
      <c r="C32" s="243" t="s">
        <v>662</v>
      </c>
      <c r="D32" s="244"/>
    </row>
    <row r="33" spans="1:4" ht="35.1" customHeight="1" x14ac:dyDescent="0.25">
      <c r="A33" s="123">
        <f t="shared" si="2"/>
        <v>6.7999999999999972</v>
      </c>
      <c r="B33" s="128" t="s">
        <v>574</v>
      </c>
      <c r="C33" s="243" t="s">
        <v>674</v>
      </c>
      <c r="D33" s="244"/>
    </row>
    <row r="34" spans="1:4" ht="35.1" customHeight="1" x14ac:dyDescent="0.25">
      <c r="A34" s="123">
        <f t="shared" si="2"/>
        <v>6.8999999999999968</v>
      </c>
      <c r="B34" s="128" t="s">
        <v>668</v>
      </c>
      <c r="C34" s="85" t="s">
        <v>678</v>
      </c>
      <c r="D34" s="245" t="s">
        <v>677</v>
      </c>
    </row>
    <row r="35" spans="1:4" ht="20.100000000000001" customHeight="1" x14ac:dyDescent="0.25">
      <c r="A35" s="124">
        <f>+A26</f>
        <v>6.1</v>
      </c>
      <c r="B35" s="127" t="s">
        <v>580</v>
      </c>
      <c r="C35" s="85" t="s">
        <v>652</v>
      </c>
      <c r="D35" s="246"/>
    </row>
    <row r="36" spans="1:4" ht="20.100000000000001" customHeight="1" x14ac:dyDescent="0.25">
      <c r="A36" s="124">
        <f>+A35+0.01</f>
        <v>6.1099999999999994</v>
      </c>
      <c r="B36" s="127" t="s">
        <v>27</v>
      </c>
      <c r="C36" s="85" t="s">
        <v>656</v>
      </c>
      <c r="D36" s="246"/>
    </row>
    <row r="37" spans="1:4" ht="20.100000000000001" customHeight="1" x14ac:dyDescent="0.25">
      <c r="A37" s="124">
        <f>+A36+0.01</f>
        <v>6.1199999999999992</v>
      </c>
      <c r="B37" s="127" t="s">
        <v>665</v>
      </c>
      <c r="C37" s="85" t="s">
        <v>656</v>
      </c>
      <c r="D37" s="246"/>
    </row>
    <row r="38" spans="1:4" ht="20.100000000000001" customHeight="1" x14ac:dyDescent="0.25">
      <c r="A38" s="252">
        <f>+A37+0.01</f>
        <v>6.129999999999999</v>
      </c>
      <c r="B38" s="250" t="s">
        <v>672</v>
      </c>
      <c r="C38" s="251"/>
      <c r="D38" s="246"/>
    </row>
    <row r="39" spans="1:4" ht="54" customHeight="1" x14ac:dyDescent="0.25">
      <c r="A39" s="253"/>
      <c r="B39" s="130" t="s">
        <v>844</v>
      </c>
      <c r="C39" s="85" t="s">
        <v>657</v>
      </c>
      <c r="D39" s="246"/>
    </row>
    <row r="40" spans="1:4" ht="32.25" customHeight="1" x14ac:dyDescent="0.25">
      <c r="A40" s="253"/>
      <c r="B40" s="130" t="s">
        <v>727</v>
      </c>
      <c r="C40" s="85" t="s">
        <v>893</v>
      </c>
      <c r="D40" s="246"/>
    </row>
    <row r="41" spans="1:4" ht="20.100000000000001" customHeight="1" x14ac:dyDescent="0.25">
      <c r="A41" s="253"/>
      <c r="B41" s="129" t="s">
        <v>670</v>
      </c>
      <c r="C41" s="85" t="s">
        <v>656</v>
      </c>
      <c r="D41" s="246"/>
    </row>
    <row r="42" spans="1:4" ht="20.100000000000001" customHeight="1" x14ac:dyDescent="0.25">
      <c r="A42" s="254"/>
      <c r="B42" s="129" t="s">
        <v>669</v>
      </c>
      <c r="C42" s="85" t="s">
        <v>657</v>
      </c>
      <c r="D42" s="246"/>
    </row>
    <row r="43" spans="1:4" ht="36" customHeight="1" x14ac:dyDescent="0.25">
      <c r="A43" s="121">
        <f>+A25+1</f>
        <v>7</v>
      </c>
      <c r="B43" s="125" t="s">
        <v>335</v>
      </c>
      <c r="C43" s="122" t="s">
        <v>673</v>
      </c>
      <c r="D43" s="247"/>
    </row>
    <row r="44" spans="1:4" s="126" customFormat="1" ht="30.75" customHeight="1" x14ac:dyDescent="0.25">
      <c r="A44" s="121">
        <f>+A43+1</f>
        <v>8</v>
      </c>
      <c r="B44" s="240" t="s">
        <v>414</v>
      </c>
      <c r="C44" s="241"/>
      <c r="D44" s="242"/>
    </row>
    <row r="45" spans="1:4" ht="20.100000000000001" customHeight="1" x14ac:dyDescent="0.25">
      <c r="A45" s="123">
        <f>+A44+0.1</f>
        <v>8.1</v>
      </c>
      <c r="B45" s="127" t="s">
        <v>414</v>
      </c>
      <c r="C45" s="243" t="s">
        <v>656</v>
      </c>
      <c r="D45" s="244"/>
    </row>
    <row r="46" spans="1:4" ht="20.100000000000001" customHeight="1" x14ac:dyDescent="0.25">
      <c r="A46" s="123">
        <f>+A45+0.1</f>
        <v>8.1999999999999993</v>
      </c>
      <c r="B46" s="127" t="s">
        <v>718</v>
      </c>
      <c r="C46" s="243" t="s">
        <v>713</v>
      </c>
      <c r="D46" s="244"/>
    </row>
    <row r="47" spans="1:4" ht="20.100000000000001" customHeight="1" x14ac:dyDescent="0.25">
      <c r="A47" s="123">
        <f>+A46+0.1</f>
        <v>8.2999999999999989</v>
      </c>
      <c r="B47" s="127" t="s">
        <v>715</v>
      </c>
      <c r="C47" s="243" t="s">
        <v>713</v>
      </c>
      <c r="D47" s="244"/>
    </row>
    <row r="48" spans="1:4" ht="20.100000000000001" customHeight="1" x14ac:dyDescent="0.25">
      <c r="A48" s="123">
        <f t="shared" ref="A48:A51" si="3">+A47+0.1</f>
        <v>8.3999999999999986</v>
      </c>
      <c r="B48" s="127" t="s">
        <v>716</v>
      </c>
      <c r="C48" s="243" t="s">
        <v>656</v>
      </c>
      <c r="D48" s="244"/>
    </row>
    <row r="49" spans="1:4" ht="20.100000000000001" customHeight="1" x14ac:dyDescent="0.25">
      <c r="A49" s="123">
        <f t="shared" si="3"/>
        <v>8.4999999999999982</v>
      </c>
      <c r="B49" s="127" t="s">
        <v>728</v>
      </c>
      <c r="C49" s="243" t="s">
        <v>656</v>
      </c>
      <c r="D49" s="244"/>
    </row>
    <row r="50" spans="1:4" ht="20.100000000000001" customHeight="1" x14ac:dyDescent="0.25">
      <c r="A50" s="123">
        <f t="shared" si="3"/>
        <v>8.5999999999999979</v>
      </c>
      <c r="B50" s="127" t="s">
        <v>717</v>
      </c>
      <c r="C50" s="243" t="s">
        <v>656</v>
      </c>
      <c r="D50" s="244"/>
    </row>
    <row r="51" spans="1:4" ht="20.100000000000001" customHeight="1" x14ac:dyDescent="0.25">
      <c r="A51" s="123">
        <f t="shared" si="3"/>
        <v>8.6999999999999975</v>
      </c>
      <c r="B51" s="127" t="s">
        <v>722</v>
      </c>
      <c r="C51" s="243" t="s">
        <v>656</v>
      </c>
      <c r="D51" s="244"/>
    </row>
    <row r="52" spans="1:4" s="126" customFormat="1" ht="30.75" customHeight="1" x14ac:dyDescent="0.25">
      <c r="A52" s="121">
        <f>+A44+1</f>
        <v>9</v>
      </c>
      <c r="B52" s="125" t="s">
        <v>723</v>
      </c>
      <c r="C52" s="248" t="s">
        <v>713</v>
      </c>
      <c r="D52" s="249"/>
    </row>
    <row r="53" spans="1:4" s="126" customFormat="1" ht="30.75" customHeight="1" x14ac:dyDescent="0.25">
      <c r="A53" s="121">
        <f>+A52+1</f>
        <v>10</v>
      </c>
      <c r="B53" s="125" t="s">
        <v>724</v>
      </c>
      <c r="C53" s="248" t="s">
        <v>713</v>
      </c>
      <c r="D53" s="249"/>
    </row>
  </sheetData>
  <mergeCells count="45">
    <mergeCell ref="A38:A42"/>
    <mergeCell ref="A1:D1"/>
    <mergeCell ref="C3:D3"/>
    <mergeCell ref="C5:D5"/>
    <mergeCell ref="C6:D6"/>
    <mergeCell ref="C8:D8"/>
    <mergeCell ref="C9:D9"/>
    <mergeCell ref="C10:D10"/>
    <mergeCell ref="C11:D11"/>
    <mergeCell ref="C12:D12"/>
    <mergeCell ref="C29:D29"/>
    <mergeCell ref="C13:D13"/>
    <mergeCell ref="C14:D14"/>
    <mergeCell ref="B7:D7"/>
    <mergeCell ref="B25:D25"/>
    <mergeCell ref="C4:D4"/>
    <mergeCell ref="C52:D52"/>
    <mergeCell ref="C53:D53"/>
    <mergeCell ref="C26:D26"/>
    <mergeCell ref="C27:D27"/>
    <mergeCell ref="C30:D30"/>
    <mergeCell ref="C31:D31"/>
    <mergeCell ref="C32:D32"/>
    <mergeCell ref="B38:C38"/>
    <mergeCell ref="C33:D33"/>
    <mergeCell ref="C45:D45"/>
    <mergeCell ref="C47:D47"/>
    <mergeCell ref="C48:D48"/>
    <mergeCell ref="C46:D46"/>
    <mergeCell ref="C49:D49"/>
    <mergeCell ref="C50:D50"/>
    <mergeCell ref="C51:D51"/>
    <mergeCell ref="B44:D44"/>
    <mergeCell ref="C20:D20"/>
    <mergeCell ref="D34:D43"/>
    <mergeCell ref="C15:D15"/>
    <mergeCell ref="C16:D16"/>
    <mergeCell ref="C17:D17"/>
    <mergeCell ref="C28:D28"/>
    <mergeCell ref="C19:D19"/>
    <mergeCell ref="C22:D22"/>
    <mergeCell ref="C21:D21"/>
    <mergeCell ref="C23:D23"/>
    <mergeCell ref="C24:D24"/>
    <mergeCell ref="B18:D18"/>
  </mergeCells>
  <printOptions horizontalCentered="1"/>
  <pageMargins left="0.31496062992125984" right="0.31496062992125984" top="0.35433070866141736" bottom="0.19685039370078741" header="0.31496062992125984" footer="0.31496062992125984"/>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9C3DB-B669-4F7A-9826-330EE2BC7B26}">
  <sheetPr>
    <tabColor rgb="FFFFFF00"/>
  </sheetPr>
  <dimension ref="A1:H76"/>
  <sheetViews>
    <sheetView tabSelected="1" view="pageBreakPreview" topLeftCell="A60" zoomScale="85" zoomScaleNormal="100" zoomScaleSheetLayoutView="85" workbookViewId="0">
      <selection activeCell="E80" sqref="E79:E80"/>
    </sheetView>
  </sheetViews>
  <sheetFormatPr defaultRowHeight="18" x14ac:dyDescent="0.25"/>
  <cols>
    <col min="1" max="1" width="6.5703125" style="120" customWidth="1"/>
    <col min="2" max="2" width="96.7109375" style="118" customWidth="1"/>
    <col min="3" max="4" width="14.85546875" style="120" customWidth="1"/>
    <col min="5" max="5" width="37.140625" style="119" customWidth="1"/>
    <col min="6" max="6" width="6.28515625" style="119" customWidth="1"/>
    <col min="7" max="7" width="13.5703125" style="118" customWidth="1"/>
    <col min="8" max="8" width="22.7109375" style="118" customWidth="1"/>
    <col min="9" max="9" width="9.140625" style="118" customWidth="1"/>
    <col min="10" max="16384" width="9.140625" style="118"/>
  </cols>
  <sheetData>
    <row r="1" spans="1:8" s="117" customFormat="1" ht="27.75" customHeight="1" thickBot="1" x14ac:dyDescent="0.3">
      <c r="A1" s="258" t="s">
        <v>975</v>
      </c>
      <c r="B1" s="259"/>
      <c r="C1" s="259"/>
      <c r="D1" s="259"/>
      <c r="E1" s="259"/>
      <c r="F1" s="259"/>
      <c r="G1" s="259"/>
      <c r="H1" s="260"/>
    </row>
    <row r="2" spans="1:8" ht="11.25" customHeight="1" thickBot="1" x14ac:dyDescent="0.3"/>
    <row r="3" spans="1:8" s="117" customFormat="1" ht="33.75" customHeight="1" thickBot="1" x14ac:dyDescent="0.3">
      <c r="A3" s="172" t="s">
        <v>671</v>
      </c>
      <c r="B3" s="173" t="s">
        <v>653</v>
      </c>
      <c r="C3" s="173" t="s">
        <v>895</v>
      </c>
      <c r="D3" s="188" t="s">
        <v>997</v>
      </c>
      <c r="E3" s="261" t="s">
        <v>915</v>
      </c>
      <c r="F3" s="262"/>
      <c r="G3" s="174" t="s">
        <v>465</v>
      </c>
      <c r="H3" s="175" t="s">
        <v>914</v>
      </c>
    </row>
    <row r="4" spans="1:8" s="126" customFormat="1" ht="37.5" customHeight="1" thickBot="1" x14ac:dyDescent="0.3">
      <c r="A4" s="165">
        <v>0</v>
      </c>
      <c r="B4" s="166" t="s">
        <v>721</v>
      </c>
      <c r="C4" s="167" t="s">
        <v>898</v>
      </c>
      <c r="D4" s="167" t="s">
        <v>998</v>
      </c>
      <c r="E4" s="263" t="s">
        <v>656</v>
      </c>
      <c r="F4" s="264"/>
      <c r="G4" s="170" t="s">
        <v>49</v>
      </c>
      <c r="H4" s="171" t="s">
        <v>49</v>
      </c>
    </row>
    <row r="5" spans="1:8" s="126" customFormat="1" ht="48.75" customHeight="1" thickBot="1" x14ac:dyDescent="0.3">
      <c r="A5" s="165">
        <f>+A4+1</f>
        <v>1</v>
      </c>
      <c r="B5" s="166" t="s">
        <v>958</v>
      </c>
      <c r="C5" s="167" t="s">
        <v>898</v>
      </c>
      <c r="D5" s="167" t="s">
        <v>998</v>
      </c>
      <c r="E5" s="263" t="s">
        <v>656</v>
      </c>
      <c r="F5" s="264"/>
      <c r="G5" s="168">
        <v>0.1</v>
      </c>
      <c r="H5" s="169" t="s">
        <v>407</v>
      </c>
    </row>
    <row r="6" spans="1:8" s="126" customFormat="1" ht="27.75" customHeight="1" x14ac:dyDescent="0.25">
      <c r="A6" s="162">
        <f>+A5+1</f>
        <v>2</v>
      </c>
      <c r="B6" s="265" t="s">
        <v>744</v>
      </c>
      <c r="C6" s="266"/>
      <c r="D6" s="266"/>
      <c r="E6" s="266"/>
      <c r="F6" s="266"/>
      <c r="G6" s="267"/>
      <c r="H6" s="268" t="s">
        <v>408</v>
      </c>
    </row>
    <row r="7" spans="1:8" s="126" customFormat="1" ht="33" customHeight="1" x14ac:dyDescent="0.25">
      <c r="A7" s="163">
        <f>+A6+0.1</f>
        <v>2.1</v>
      </c>
      <c r="B7" s="157" t="s">
        <v>897</v>
      </c>
      <c r="C7" s="231" t="s">
        <v>898</v>
      </c>
      <c r="D7" s="155" t="s">
        <v>998</v>
      </c>
      <c r="E7" s="243" t="s">
        <v>652</v>
      </c>
      <c r="F7" s="244"/>
      <c r="G7" s="272">
        <v>0.1</v>
      </c>
      <c r="H7" s="269"/>
    </row>
    <row r="8" spans="1:8" s="126" customFormat="1" ht="21.75" customHeight="1" x14ac:dyDescent="0.25">
      <c r="A8" s="275">
        <f>+A7+0.1</f>
        <v>2.2000000000000002</v>
      </c>
      <c r="B8" s="158" t="s">
        <v>899</v>
      </c>
      <c r="C8" s="232"/>
      <c r="D8" s="231" t="s">
        <v>998</v>
      </c>
      <c r="E8" s="243" t="s">
        <v>656</v>
      </c>
      <c r="F8" s="244"/>
      <c r="G8" s="273"/>
      <c r="H8" s="269"/>
    </row>
    <row r="9" spans="1:8" ht="20.100000000000001" customHeight="1" x14ac:dyDescent="0.25">
      <c r="A9" s="276"/>
      <c r="B9" s="127" t="s">
        <v>900</v>
      </c>
      <c r="C9" s="232"/>
      <c r="D9" s="232"/>
      <c r="E9" s="243" t="s">
        <v>652</v>
      </c>
      <c r="F9" s="244"/>
      <c r="G9" s="273"/>
      <c r="H9" s="269"/>
    </row>
    <row r="10" spans="1:8" ht="20.100000000000001" customHeight="1" x14ac:dyDescent="0.25">
      <c r="A10" s="276"/>
      <c r="B10" s="127" t="s">
        <v>901</v>
      </c>
      <c r="C10" s="232"/>
      <c r="D10" s="232"/>
      <c r="E10" s="243" t="s">
        <v>676</v>
      </c>
      <c r="F10" s="244"/>
      <c r="G10" s="273"/>
      <c r="H10" s="269"/>
    </row>
    <row r="11" spans="1:8" ht="20.100000000000001" customHeight="1" x14ac:dyDescent="0.25">
      <c r="A11" s="276"/>
      <c r="B11" s="127" t="s">
        <v>902</v>
      </c>
      <c r="C11" s="232"/>
      <c r="D11" s="232"/>
      <c r="E11" s="243" t="s">
        <v>676</v>
      </c>
      <c r="F11" s="244"/>
      <c r="G11" s="273"/>
      <c r="H11" s="269"/>
    </row>
    <row r="12" spans="1:8" ht="20.100000000000001" customHeight="1" x14ac:dyDescent="0.25">
      <c r="A12" s="276"/>
      <c r="B12" s="127" t="s">
        <v>903</v>
      </c>
      <c r="C12" s="232"/>
      <c r="D12" s="232"/>
      <c r="E12" s="243" t="s">
        <v>652</v>
      </c>
      <c r="F12" s="244"/>
      <c r="G12" s="273"/>
      <c r="H12" s="269"/>
    </row>
    <row r="13" spans="1:8" ht="20.100000000000001" customHeight="1" x14ac:dyDescent="0.25">
      <c r="A13" s="276"/>
      <c r="B13" s="127" t="s">
        <v>905</v>
      </c>
      <c r="C13" s="232"/>
      <c r="D13" s="232"/>
      <c r="E13" s="243" t="s">
        <v>657</v>
      </c>
      <c r="F13" s="244"/>
      <c r="G13" s="273"/>
      <c r="H13" s="269"/>
    </row>
    <row r="14" spans="1:8" ht="20.100000000000001" customHeight="1" x14ac:dyDescent="0.25">
      <c r="A14" s="276"/>
      <c r="B14" s="127" t="s">
        <v>904</v>
      </c>
      <c r="C14" s="232"/>
      <c r="D14" s="232"/>
      <c r="E14" s="243" t="s">
        <v>675</v>
      </c>
      <c r="F14" s="244"/>
      <c r="G14" s="273"/>
      <c r="H14" s="269"/>
    </row>
    <row r="15" spans="1:8" ht="20.100000000000001" customHeight="1" x14ac:dyDescent="0.25">
      <c r="A15" s="276"/>
      <c r="B15" s="127" t="s">
        <v>906</v>
      </c>
      <c r="C15" s="232"/>
      <c r="D15" s="232"/>
      <c r="E15" s="243" t="s">
        <v>952</v>
      </c>
      <c r="F15" s="244"/>
      <c r="G15" s="273"/>
      <c r="H15" s="269"/>
    </row>
    <row r="16" spans="1:8" ht="20.100000000000001" customHeight="1" x14ac:dyDescent="0.25">
      <c r="A16" s="276"/>
      <c r="B16" s="127" t="s">
        <v>908</v>
      </c>
      <c r="C16" s="232"/>
      <c r="D16" s="232"/>
      <c r="E16" s="243" t="s">
        <v>661</v>
      </c>
      <c r="F16" s="244"/>
      <c r="G16" s="273"/>
      <c r="H16" s="269"/>
    </row>
    <row r="17" spans="1:8" ht="20.100000000000001" customHeight="1" x14ac:dyDescent="0.25">
      <c r="A17" s="276"/>
      <c r="B17" s="127" t="s">
        <v>909</v>
      </c>
      <c r="C17" s="232"/>
      <c r="D17" s="232"/>
      <c r="E17" s="243" t="s">
        <v>662</v>
      </c>
      <c r="F17" s="244"/>
      <c r="G17" s="273"/>
      <c r="H17" s="269"/>
    </row>
    <row r="18" spans="1:8" ht="20.100000000000001" customHeight="1" x14ac:dyDescent="0.25">
      <c r="A18" s="276"/>
      <c r="B18" s="127" t="s">
        <v>907</v>
      </c>
      <c r="C18" s="232"/>
      <c r="D18" s="232"/>
      <c r="E18" s="243" t="s">
        <v>657</v>
      </c>
      <c r="F18" s="244"/>
      <c r="G18" s="273"/>
      <c r="H18" s="269"/>
    </row>
    <row r="19" spans="1:8" ht="36" customHeight="1" x14ac:dyDescent="0.25">
      <c r="A19" s="276"/>
      <c r="B19" s="128" t="s">
        <v>911</v>
      </c>
      <c r="C19" s="232"/>
      <c r="D19" s="232"/>
      <c r="E19" s="243" t="s">
        <v>999</v>
      </c>
      <c r="F19" s="244"/>
      <c r="G19" s="273"/>
      <c r="H19" s="269"/>
    </row>
    <row r="20" spans="1:8" ht="20.100000000000001" customHeight="1" x14ac:dyDescent="0.25">
      <c r="A20" s="276"/>
      <c r="B20" s="127" t="s">
        <v>912</v>
      </c>
      <c r="C20" s="232"/>
      <c r="D20" s="232"/>
      <c r="E20" s="243" t="s">
        <v>656</v>
      </c>
      <c r="F20" s="244"/>
      <c r="G20" s="273"/>
      <c r="H20" s="269"/>
    </row>
    <row r="21" spans="1:8" ht="20.100000000000001" customHeight="1" x14ac:dyDescent="0.25">
      <c r="A21" s="276"/>
      <c r="B21" s="127" t="s">
        <v>910</v>
      </c>
      <c r="C21" s="232"/>
      <c r="D21" s="232"/>
      <c r="E21" s="243" t="s">
        <v>656</v>
      </c>
      <c r="F21" s="244"/>
      <c r="G21" s="273"/>
      <c r="H21" s="269"/>
    </row>
    <row r="22" spans="1:8" ht="20.100000000000001" customHeight="1" x14ac:dyDescent="0.25">
      <c r="A22" s="276"/>
      <c r="B22" s="127" t="s">
        <v>913</v>
      </c>
      <c r="C22" s="232"/>
      <c r="D22" s="232"/>
      <c r="E22" s="243" t="s">
        <v>713</v>
      </c>
      <c r="F22" s="244"/>
      <c r="G22" s="273"/>
      <c r="H22" s="269"/>
    </row>
    <row r="23" spans="1:8" ht="20.100000000000001" customHeight="1" thickBot="1" x14ac:dyDescent="0.3">
      <c r="A23" s="277"/>
      <c r="B23" s="164" t="s">
        <v>916</v>
      </c>
      <c r="C23" s="271"/>
      <c r="D23" s="271"/>
      <c r="E23" s="282" t="s">
        <v>656</v>
      </c>
      <c r="F23" s="283"/>
      <c r="G23" s="274"/>
      <c r="H23" s="270"/>
    </row>
    <row r="24" spans="1:8" s="126" customFormat="1" ht="25.5" customHeight="1" x14ac:dyDescent="0.25">
      <c r="A24" s="162">
        <f>+A6+1</f>
        <v>3</v>
      </c>
      <c r="B24" s="265" t="s">
        <v>410</v>
      </c>
      <c r="C24" s="266"/>
      <c r="D24" s="266"/>
      <c r="E24" s="266"/>
      <c r="F24" s="266"/>
      <c r="G24" s="267"/>
      <c r="H24" s="278" t="s">
        <v>407</v>
      </c>
    </row>
    <row r="25" spans="1:8" ht="20.100000000000001" customHeight="1" x14ac:dyDescent="0.25">
      <c r="A25" s="275">
        <f>+A24+0.1</f>
        <v>3.1</v>
      </c>
      <c r="B25" s="157" t="s">
        <v>923</v>
      </c>
      <c r="C25" s="156" t="s">
        <v>918</v>
      </c>
      <c r="D25" s="231" t="s">
        <v>998</v>
      </c>
      <c r="E25" s="248" t="s">
        <v>656</v>
      </c>
      <c r="F25" s="249"/>
      <c r="G25" s="272">
        <v>0.05</v>
      </c>
      <c r="H25" s="279"/>
    </row>
    <row r="26" spans="1:8" ht="20.100000000000001" customHeight="1" x14ac:dyDescent="0.25">
      <c r="A26" s="276"/>
      <c r="B26" s="127" t="s">
        <v>920</v>
      </c>
      <c r="C26" s="156" t="s">
        <v>919</v>
      </c>
      <c r="D26" s="232"/>
      <c r="E26" s="243" t="s">
        <v>713</v>
      </c>
      <c r="F26" s="244"/>
      <c r="G26" s="273"/>
      <c r="H26" s="279"/>
    </row>
    <row r="27" spans="1:8" ht="20.100000000000001" customHeight="1" x14ac:dyDescent="0.25">
      <c r="A27" s="276"/>
      <c r="B27" s="127" t="s">
        <v>921</v>
      </c>
      <c r="C27" s="156" t="s">
        <v>919</v>
      </c>
      <c r="D27" s="232"/>
      <c r="E27" s="243" t="s">
        <v>713</v>
      </c>
      <c r="F27" s="244"/>
      <c r="G27" s="273"/>
      <c r="H27" s="279"/>
    </row>
    <row r="28" spans="1:8" ht="20.100000000000001" customHeight="1" x14ac:dyDescent="0.25">
      <c r="A28" s="288"/>
      <c r="B28" s="127" t="s">
        <v>922</v>
      </c>
      <c r="C28" s="156" t="s">
        <v>918</v>
      </c>
      <c r="D28" s="233"/>
      <c r="E28" s="243" t="s">
        <v>656</v>
      </c>
      <c r="F28" s="244"/>
      <c r="G28" s="281"/>
      <c r="H28" s="279"/>
    </row>
    <row r="29" spans="1:8" ht="20.100000000000001" customHeight="1" x14ac:dyDescent="0.25">
      <c r="A29" s="275">
        <v>3.2</v>
      </c>
      <c r="B29" s="157" t="s">
        <v>924</v>
      </c>
      <c r="C29" s="156" t="s">
        <v>917</v>
      </c>
      <c r="D29" s="231" t="s">
        <v>998</v>
      </c>
      <c r="E29" s="248" t="s">
        <v>656</v>
      </c>
      <c r="F29" s="249"/>
      <c r="G29" s="272">
        <v>2.5000000000000001E-2</v>
      </c>
      <c r="H29" s="279"/>
    </row>
    <row r="30" spans="1:8" ht="20.100000000000001" customHeight="1" x14ac:dyDescent="0.25">
      <c r="A30" s="300"/>
      <c r="B30" s="127" t="s">
        <v>926</v>
      </c>
      <c r="C30" s="156" t="s">
        <v>917</v>
      </c>
      <c r="D30" s="232"/>
      <c r="E30" s="243" t="s">
        <v>656</v>
      </c>
      <c r="F30" s="244"/>
      <c r="G30" s="273"/>
      <c r="H30" s="279"/>
    </row>
    <row r="31" spans="1:8" ht="20.100000000000001" customHeight="1" x14ac:dyDescent="0.25">
      <c r="A31" s="301"/>
      <c r="B31" s="127" t="s">
        <v>927</v>
      </c>
      <c r="C31" s="156" t="s">
        <v>917</v>
      </c>
      <c r="D31" s="233"/>
      <c r="E31" s="243" t="s">
        <v>656</v>
      </c>
      <c r="F31" s="244"/>
      <c r="G31" s="281"/>
      <c r="H31" s="279"/>
    </row>
    <row r="32" spans="1:8" ht="20.100000000000001" customHeight="1" x14ac:dyDescent="0.25">
      <c r="A32" s="275">
        <v>3.3</v>
      </c>
      <c r="B32" s="157" t="s">
        <v>925</v>
      </c>
      <c r="C32" s="156" t="s">
        <v>918</v>
      </c>
      <c r="D32" s="231" t="s">
        <v>998</v>
      </c>
      <c r="E32" s="248" t="s">
        <v>656</v>
      </c>
      <c r="F32" s="249"/>
      <c r="G32" s="272">
        <v>0.05</v>
      </c>
      <c r="H32" s="279"/>
    </row>
    <row r="33" spans="1:8" ht="20.100000000000001" customHeight="1" thickBot="1" x14ac:dyDescent="0.3">
      <c r="A33" s="302"/>
      <c r="B33" s="164" t="s">
        <v>928</v>
      </c>
      <c r="C33" s="176" t="s">
        <v>918</v>
      </c>
      <c r="D33" s="271"/>
      <c r="E33" s="282" t="s">
        <v>656</v>
      </c>
      <c r="F33" s="283"/>
      <c r="G33" s="274"/>
      <c r="H33" s="280"/>
    </row>
    <row r="34" spans="1:8" s="126" customFormat="1" ht="23.25" customHeight="1" x14ac:dyDescent="0.25">
      <c r="A34" s="162">
        <f>+A24+1</f>
        <v>4</v>
      </c>
      <c r="B34" s="265" t="s">
        <v>339</v>
      </c>
      <c r="C34" s="266"/>
      <c r="D34" s="266"/>
      <c r="E34" s="266"/>
      <c r="F34" s="266"/>
      <c r="G34" s="267"/>
      <c r="H34" s="278" t="s">
        <v>408</v>
      </c>
    </row>
    <row r="35" spans="1:8" ht="33.75" customHeight="1" x14ac:dyDescent="0.25">
      <c r="A35" s="163">
        <f>+A34+0.1</f>
        <v>4.0999999999999996</v>
      </c>
      <c r="B35" s="127" t="s">
        <v>939</v>
      </c>
      <c r="C35" s="231" t="s">
        <v>898</v>
      </c>
      <c r="D35" s="85" t="s">
        <v>998</v>
      </c>
      <c r="E35" s="243" t="s">
        <v>656</v>
      </c>
      <c r="F35" s="244"/>
      <c r="G35" s="272">
        <v>0.1</v>
      </c>
      <c r="H35" s="279"/>
    </row>
    <row r="36" spans="1:8" ht="36.75" customHeight="1" x14ac:dyDescent="0.25">
      <c r="A36" s="275">
        <f>+A35+0.1</f>
        <v>4.1999999999999993</v>
      </c>
      <c r="B36" s="127" t="s">
        <v>940</v>
      </c>
      <c r="C36" s="232"/>
      <c r="D36" s="85" t="s">
        <v>998</v>
      </c>
      <c r="E36" s="243" t="s">
        <v>657</v>
      </c>
      <c r="F36" s="244"/>
      <c r="G36" s="273"/>
      <c r="H36" s="279"/>
    </row>
    <row r="37" spans="1:8" ht="20.100000000000001" customHeight="1" x14ac:dyDescent="0.25">
      <c r="A37" s="276"/>
      <c r="B37" s="130" t="s">
        <v>943</v>
      </c>
      <c r="C37" s="232"/>
      <c r="D37" s="231" t="s">
        <v>998</v>
      </c>
      <c r="E37" s="243" t="s">
        <v>656</v>
      </c>
      <c r="F37" s="244"/>
      <c r="G37" s="273"/>
      <c r="H37" s="279"/>
    </row>
    <row r="38" spans="1:8" ht="20.100000000000001" customHeight="1" x14ac:dyDescent="0.25">
      <c r="A38" s="276"/>
      <c r="B38" s="159" t="s">
        <v>900</v>
      </c>
      <c r="C38" s="232"/>
      <c r="D38" s="232"/>
      <c r="E38" s="243" t="str">
        <f>+E9</f>
        <v>Krunal Patel</v>
      </c>
      <c r="F38" s="244"/>
      <c r="G38" s="273"/>
      <c r="H38" s="279"/>
    </row>
    <row r="39" spans="1:8" ht="20.100000000000001" customHeight="1" x14ac:dyDescent="0.25">
      <c r="A39" s="276"/>
      <c r="B39" s="159" t="s">
        <v>901</v>
      </c>
      <c r="C39" s="232"/>
      <c r="D39" s="232"/>
      <c r="E39" s="243" t="str">
        <f t="shared" ref="E39:E44" si="0">+E10</f>
        <v>Zulfikar Petiwala / Ritesh</v>
      </c>
      <c r="F39" s="244"/>
      <c r="G39" s="273"/>
      <c r="H39" s="279"/>
    </row>
    <row r="40" spans="1:8" ht="20.100000000000001" customHeight="1" x14ac:dyDescent="0.25">
      <c r="A40" s="276"/>
      <c r="B40" s="159" t="s">
        <v>902</v>
      </c>
      <c r="C40" s="232"/>
      <c r="D40" s="232"/>
      <c r="E40" s="243" t="str">
        <f t="shared" si="0"/>
        <v>Zulfikar Petiwala / Ritesh</v>
      </c>
      <c r="F40" s="244"/>
      <c r="G40" s="273"/>
      <c r="H40" s="279"/>
    </row>
    <row r="41" spans="1:8" ht="20.100000000000001" customHeight="1" x14ac:dyDescent="0.25">
      <c r="A41" s="276"/>
      <c r="B41" s="159" t="s">
        <v>941</v>
      </c>
      <c r="C41" s="232"/>
      <c r="D41" s="232"/>
      <c r="E41" s="243" t="str">
        <f t="shared" si="0"/>
        <v>Krunal Patel</v>
      </c>
      <c r="F41" s="244"/>
      <c r="G41" s="273"/>
      <c r="H41" s="279"/>
    </row>
    <row r="42" spans="1:8" ht="20.100000000000001" customHeight="1" x14ac:dyDescent="0.25">
      <c r="A42" s="276"/>
      <c r="B42" s="159" t="s">
        <v>905</v>
      </c>
      <c r="C42" s="232"/>
      <c r="D42" s="232"/>
      <c r="E42" s="243" t="str">
        <f t="shared" si="0"/>
        <v>Krunal Patel / Zulfikar Petiwala</v>
      </c>
      <c r="F42" s="244"/>
      <c r="G42" s="273"/>
      <c r="H42" s="279"/>
    </row>
    <row r="43" spans="1:8" ht="20.100000000000001" customHeight="1" x14ac:dyDescent="0.25">
      <c r="A43" s="276"/>
      <c r="B43" s="159" t="s">
        <v>904</v>
      </c>
      <c r="C43" s="232"/>
      <c r="D43" s="232"/>
      <c r="E43" s="243" t="str">
        <f t="shared" si="0"/>
        <v>Hemant Pandya / Aditya Pancholi</v>
      </c>
      <c r="F43" s="244"/>
      <c r="G43" s="273"/>
      <c r="H43" s="279"/>
    </row>
    <row r="44" spans="1:8" ht="20.100000000000001" customHeight="1" x14ac:dyDescent="0.25">
      <c r="A44" s="276"/>
      <c r="B44" s="130" t="s">
        <v>942</v>
      </c>
      <c r="C44" s="232"/>
      <c r="D44" s="232"/>
      <c r="E44" s="243" t="str">
        <f t="shared" si="0"/>
        <v>Nilay Gandhi / Fakhruddin</v>
      </c>
      <c r="F44" s="244"/>
      <c r="G44" s="273"/>
      <c r="H44" s="279"/>
    </row>
    <row r="45" spans="1:8" ht="20.100000000000001" customHeight="1" x14ac:dyDescent="0.25">
      <c r="A45" s="276"/>
      <c r="B45" s="159" t="s">
        <v>906</v>
      </c>
      <c r="C45" s="232"/>
      <c r="D45" s="232"/>
      <c r="E45" s="243" t="str">
        <f>+E15</f>
        <v>Nilay Gandhi / Fakhruddin</v>
      </c>
      <c r="F45" s="244"/>
      <c r="G45" s="273"/>
      <c r="H45" s="279"/>
    </row>
    <row r="46" spans="1:8" ht="20.100000000000001" customHeight="1" x14ac:dyDescent="0.25">
      <c r="A46" s="276"/>
      <c r="B46" s="159" t="s">
        <v>908</v>
      </c>
      <c r="C46" s="232"/>
      <c r="D46" s="232"/>
      <c r="E46" s="243" t="str">
        <f>+E16</f>
        <v>Vishal Sakpal</v>
      </c>
      <c r="F46" s="244"/>
      <c r="G46" s="273"/>
      <c r="H46" s="279"/>
    </row>
    <row r="47" spans="1:8" ht="20.100000000000001" customHeight="1" x14ac:dyDescent="0.25">
      <c r="A47" s="288"/>
      <c r="B47" s="159" t="s">
        <v>909</v>
      </c>
      <c r="C47" s="232"/>
      <c r="D47" s="232"/>
      <c r="E47" s="243" t="str">
        <f>+E17</f>
        <v xml:space="preserve">Suresh Jain </v>
      </c>
      <c r="F47" s="244"/>
      <c r="G47" s="273"/>
      <c r="H47" s="279"/>
    </row>
    <row r="48" spans="1:8" ht="20.100000000000001" customHeight="1" x14ac:dyDescent="0.25">
      <c r="A48" s="163">
        <f>+A36+0.1</f>
        <v>4.2999999999999989</v>
      </c>
      <c r="B48" s="127" t="s">
        <v>944</v>
      </c>
      <c r="C48" s="232"/>
      <c r="D48" s="232"/>
      <c r="E48" s="243" t="str">
        <f>+E18</f>
        <v>Krunal Patel / Zulfikar Petiwala</v>
      </c>
      <c r="F48" s="244"/>
      <c r="G48" s="273"/>
      <c r="H48" s="279"/>
    </row>
    <row r="49" spans="1:8" ht="35.1" customHeight="1" x14ac:dyDescent="0.25">
      <c r="A49" s="163">
        <f>+A48+0.1</f>
        <v>4.3999999999999986</v>
      </c>
      <c r="B49" s="128" t="s">
        <v>945</v>
      </c>
      <c r="C49" s="232"/>
      <c r="D49" s="232"/>
      <c r="E49" s="243" t="str">
        <f>+E19</f>
        <v>Seema medam</v>
      </c>
      <c r="F49" s="244"/>
      <c r="G49" s="273"/>
      <c r="H49" s="279"/>
    </row>
    <row r="50" spans="1:8" ht="35.1" customHeight="1" x14ac:dyDescent="0.25">
      <c r="A50" s="163">
        <f t="shared" ref="A50" si="1">+A49+0.1</f>
        <v>4.4999999999999982</v>
      </c>
      <c r="B50" s="128" t="s">
        <v>946</v>
      </c>
      <c r="C50" s="232"/>
      <c r="D50" s="232"/>
      <c r="E50" s="85" t="s">
        <v>678</v>
      </c>
      <c r="F50" s="245" t="s">
        <v>677</v>
      </c>
      <c r="G50" s="273"/>
      <c r="H50" s="279"/>
    </row>
    <row r="51" spans="1:8" ht="20.100000000000001" customHeight="1" x14ac:dyDescent="0.25">
      <c r="A51" s="177">
        <f>+A50+0.1</f>
        <v>4.5999999999999979</v>
      </c>
      <c r="B51" s="127" t="s">
        <v>947</v>
      </c>
      <c r="C51" s="232"/>
      <c r="D51" s="232"/>
      <c r="E51" s="85" t="s">
        <v>656</v>
      </c>
      <c r="F51" s="246"/>
      <c r="G51" s="273"/>
      <c r="H51" s="279"/>
    </row>
    <row r="52" spans="1:8" ht="20.100000000000001" customHeight="1" x14ac:dyDescent="0.25">
      <c r="A52" s="177">
        <f>+A51+0.1</f>
        <v>4.6999999999999975</v>
      </c>
      <c r="B52" s="127" t="s">
        <v>948</v>
      </c>
      <c r="C52" s="232"/>
      <c r="D52" s="232"/>
      <c r="E52" s="85" t="s">
        <v>656</v>
      </c>
      <c r="F52" s="246"/>
      <c r="G52" s="273"/>
      <c r="H52" s="279"/>
    </row>
    <row r="53" spans="1:8" ht="20.100000000000001" customHeight="1" x14ac:dyDescent="0.25">
      <c r="A53" s="177">
        <f>+A52+0.1</f>
        <v>4.7999999999999972</v>
      </c>
      <c r="B53" s="127" t="s">
        <v>949</v>
      </c>
      <c r="C53" s="232"/>
      <c r="D53" s="232"/>
      <c r="E53" s="85" t="s">
        <v>656</v>
      </c>
      <c r="F53" s="246"/>
      <c r="G53" s="273"/>
      <c r="H53" s="279"/>
    </row>
    <row r="54" spans="1:8" ht="20.100000000000001" customHeight="1" x14ac:dyDescent="0.25">
      <c r="A54" s="284">
        <f>+A53+0.1</f>
        <v>4.8999999999999968</v>
      </c>
      <c r="B54" s="127" t="s">
        <v>953</v>
      </c>
      <c r="C54" s="232"/>
      <c r="D54" s="232"/>
      <c r="E54" s="85" t="s">
        <v>656</v>
      </c>
      <c r="F54" s="246"/>
      <c r="G54" s="273"/>
      <c r="H54" s="279"/>
    </row>
    <row r="55" spans="1:8" ht="54" customHeight="1" x14ac:dyDescent="0.25">
      <c r="A55" s="285"/>
      <c r="B55" s="130" t="s">
        <v>954</v>
      </c>
      <c r="C55" s="232"/>
      <c r="D55" s="232"/>
      <c r="E55" s="85" t="s">
        <v>657</v>
      </c>
      <c r="F55" s="246"/>
      <c r="G55" s="273"/>
      <c r="H55" s="279"/>
    </row>
    <row r="56" spans="1:8" ht="32.25" customHeight="1" x14ac:dyDescent="0.25">
      <c r="A56" s="285"/>
      <c r="B56" s="130" t="s">
        <v>955</v>
      </c>
      <c r="C56" s="232"/>
      <c r="D56" s="232"/>
      <c r="E56" s="85" t="s">
        <v>893</v>
      </c>
      <c r="F56" s="246"/>
      <c r="G56" s="273"/>
      <c r="H56" s="279"/>
    </row>
    <row r="57" spans="1:8" ht="20.100000000000001" customHeight="1" x14ac:dyDescent="0.25">
      <c r="A57" s="285"/>
      <c r="B57" s="129" t="s">
        <v>956</v>
      </c>
      <c r="C57" s="232"/>
      <c r="D57" s="232"/>
      <c r="E57" s="85" t="s">
        <v>656</v>
      </c>
      <c r="F57" s="246"/>
      <c r="G57" s="273"/>
      <c r="H57" s="279"/>
    </row>
    <row r="58" spans="1:8" ht="20.100000000000001" customHeight="1" x14ac:dyDescent="0.25">
      <c r="A58" s="286">
        <f>+A35</f>
        <v>4.0999999999999996</v>
      </c>
      <c r="B58" s="127" t="s">
        <v>950</v>
      </c>
      <c r="C58" s="232"/>
      <c r="D58" s="232"/>
      <c r="E58" s="85" t="s">
        <v>652</v>
      </c>
      <c r="F58" s="246"/>
      <c r="G58" s="273"/>
      <c r="H58" s="279"/>
    </row>
    <row r="59" spans="1:8" ht="20.100000000000001" customHeight="1" thickBot="1" x14ac:dyDescent="0.3">
      <c r="A59" s="287"/>
      <c r="B59" s="178" t="s">
        <v>951</v>
      </c>
      <c r="C59" s="232"/>
      <c r="D59" s="271"/>
      <c r="E59" s="155" t="s">
        <v>657</v>
      </c>
      <c r="F59" s="246"/>
      <c r="G59" s="273"/>
      <c r="H59" s="279"/>
    </row>
    <row r="60" spans="1:8" s="126" customFormat="1" ht="62.25" customHeight="1" thickBot="1" x14ac:dyDescent="0.3">
      <c r="A60" s="165">
        <f>+A34+1</f>
        <v>5</v>
      </c>
      <c r="B60" s="166" t="s">
        <v>335</v>
      </c>
      <c r="C60" s="167" t="s">
        <v>898</v>
      </c>
      <c r="D60" s="167" t="s">
        <v>998</v>
      </c>
      <c r="E60" s="263" t="s">
        <v>673</v>
      </c>
      <c r="F60" s="264"/>
      <c r="G60" s="168">
        <v>0.15</v>
      </c>
      <c r="H60" s="169" t="s">
        <v>407</v>
      </c>
    </row>
    <row r="61" spans="1:8" s="126" customFormat="1" ht="24.75" customHeight="1" x14ac:dyDescent="0.25">
      <c r="A61" s="162">
        <f>+A60+1</f>
        <v>6</v>
      </c>
      <c r="B61" s="265" t="s">
        <v>414</v>
      </c>
      <c r="C61" s="266"/>
      <c r="D61" s="266"/>
      <c r="E61" s="266"/>
      <c r="F61" s="266"/>
      <c r="G61" s="267"/>
      <c r="H61" s="278" t="s">
        <v>407</v>
      </c>
    </row>
    <row r="62" spans="1:8" s="126" customFormat="1" x14ac:dyDescent="0.25">
      <c r="A62" s="275">
        <f>+A61+0.1</f>
        <v>6.1</v>
      </c>
      <c r="B62" s="157" t="s">
        <v>929</v>
      </c>
      <c r="C62" s="156" t="s">
        <v>918</v>
      </c>
      <c r="D62" s="231" t="s">
        <v>998</v>
      </c>
      <c r="E62" s="248" t="s">
        <v>656</v>
      </c>
      <c r="F62" s="249"/>
      <c r="G62" s="272">
        <v>0.1</v>
      </c>
      <c r="H62" s="279"/>
    </row>
    <row r="63" spans="1:8" ht="20.100000000000001" customHeight="1" x14ac:dyDescent="0.25">
      <c r="A63" s="276"/>
      <c r="B63" s="127" t="s">
        <v>932</v>
      </c>
      <c r="C63" s="156" t="s">
        <v>919</v>
      </c>
      <c r="D63" s="232"/>
      <c r="E63" s="243" t="s">
        <v>713</v>
      </c>
      <c r="F63" s="244"/>
      <c r="G63" s="273"/>
      <c r="H63" s="279"/>
    </row>
    <row r="64" spans="1:8" ht="20.100000000000001" customHeight="1" x14ac:dyDescent="0.25">
      <c r="A64" s="276"/>
      <c r="B64" s="127" t="s">
        <v>938</v>
      </c>
      <c r="C64" s="156" t="s">
        <v>919</v>
      </c>
      <c r="D64" s="232"/>
      <c r="E64" s="243" t="s">
        <v>713</v>
      </c>
      <c r="F64" s="244"/>
      <c r="G64" s="273"/>
      <c r="H64" s="279"/>
    </row>
    <row r="65" spans="1:8" ht="20.100000000000001" customHeight="1" x14ac:dyDescent="0.25">
      <c r="A65" s="288"/>
      <c r="B65" s="127" t="s">
        <v>933</v>
      </c>
      <c r="C65" s="156" t="s">
        <v>919</v>
      </c>
      <c r="D65" s="233"/>
      <c r="E65" s="243" t="s">
        <v>656</v>
      </c>
      <c r="F65" s="244"/>
      <c r="G65" s="281"/>
      <c r="H65" s="279"/>
    </row>
    <row r="66" spans="1:8" ht="20.100000000000001" customHeight="1" x14ac:dyDescent="0.25">
      <c r="A66" s="275">
        <v>6.2</v>
      </c>
      <c r="B66" s="157" t="s">
        <v>930</v>
      </c>
      <c r="C66" s="156" t="s">
        <v>917</v>
      </c>
      <c r="D66" s="231" t="s">
        <v>998</v>
      </c>
      <c r="E66" s="248" t="s">
        <v>656</v>
      </c>
      <c r="F66" s="249"/>
      <c r="G66" s="272">
        <v>2.5000000000000001E-2</v>
      </c>
      <c r="H66" s="279"/>
    </row>
    <row r="67" spans="1:8" ht="20.100000000000001" customHeight="1" x14ac:dyDescent="0.25">
      <c r="A67" s="276"/>
      <c r="B67" s="127" t="s">
        <v>934</v>
      </c>
      <c r="C67" s="156" t="s">
        <v>917</v>
      </c>
      <c r="D67" s="232"/>
      <c r="E67" s="243" t="s">
        <v>656</v>
      </c>
      <c r="F67" s="244"/>
      <c r="G67" s="273"/>
      <c r="H67" s="279"/>
    </row>
    <row r="68" spans="1:8" ht="20.100000000000001" customHeight="1" x14ac:dyDescent="0.25">
      <c r="A68" s="276"/>
      <c r="B68" s="127" t="s">
        <v>937</v>
      </c>
      <c r="C68" s="156" t="s">
        <v>917</v>
      </c>
      <c r="D68" s="232"/>
      <c r="E68" s="243" t="s">
        <v>656</v>
      </c>
      <c r="F68" s="244"/>
      <c r="G68" s="273"/>
      <c r="H68" s="279"/>
    </row>
    <row r="69" spans="1:8" ht="20.100000000000001" customHeight="1" x14ac:dyDescent="0.25">
      <c r="A69" s="288"/>
      <c r="B69" s="127" t="s">
        <v>936</v>
      </c>
      <c r="C69" s="156" t="s">
        <v>917</v>
      </c>
      <c r="D69" s="233"/>
      <c r="E69" s="243" t="s">
        <v>656</v>
      </c>
      <c r="F69" s="244"/>
      <c r="G69" s="281"/>
      <c r="H69" s="279"/>
    </row>
    <row r="70" spans="1:8" ht="20.100000000000001" customHeight="1" x14ac:dyDescent="0.25">
      <c r="A70" s="275">
        <v>6.3</v>
      </c>
      <c r="B70" s="157" t="s">
        <v>931</v>
      </c>
      <c r="C70" s="156" t="s">
        <v>918</v>
      </c>
      <c r="D70" s="231" t="s">
        <v>998</v>
      </c>
      <c r="E70" s="248" t="s">
        <v>656</v>
      </c>
      <c r="F70" s="249"/>
      <c r="G70" s="272">
        <v>0.05</v>
      </c>
      <c r="H70" s="279"/>
    </row>
    <row r="71" spans="1:8" ht="36" customHeight="1" thickBot="1" x14ac:dyDescent="0.3">
      <c r="A71" s="302"/>
      <c r="B71" s="179" t="s">
        <v>935</v>
      </c>
      <c r="C71" s="176" t="s">
        <v>918</v>
      </c>
      <c r="D71" s="271"/>
      <c r="E71" s="282" t="s">
        <v>656</v>
      </c>
      <c r="F71" s="283"/>
      <c r="G71" s="274"/>
      <c r="H71" s="280"/>
    </row>
    <row r="72" spans="1:8" s="126" customFormat="1" ht="60" customHeight="1" thickBot="1" x14ac:dyDescent="0.3">
      <c r="A72" s="165">
        <f>+A61+1</f>
        <v>7</v>
      </c>
      <c r="B72" s="166" t="s">
        <v>723</v>
      </c>
      <c r="C72" s="167" t="s">
        <v>898</v>
      </c>
      <c r="D72" s="167" t="s">
        <v>998</v>
      </c>
      <c r="E72" s="263" t="s">
        <v>713</v>
      </c>
      <c r="F72" s="264"/>
      <c r="G72" s="168">
        <v>0.1</v>
      </c>
      <c r="H72" s="169" t="s">
        <v>407</v>
      </c>
    </row>
    <row r="73" spans="1:8" s="126" customFormat="1" ht="60" customHeight="1" thickBot="1" x14ac:dyDescent="0.3">
      <c r="A73" s="165">
        <f>+A72+1</f>
        <v>8</v>
      </c>
      <c r="B73" s="166" t="s">
        <v>724</v>
      </c>
      <c r="C73" s="167" t="s">
        <v>898</v>
      </c>
      <c r="D73" s="167" t="s">
        <v>998</v>
      </c>
      <c r="E73" s="263" t="s">
        <v>713</v>
      </c>
      <c r="F73" s="264"/>
      <c r="G73" s="168">
        <v>0.1</v>
      </c>
      <c r="H73" s="169" t="s">
        <v>407</v>
      </c>
    </row>
    <row r="74" spans="1:8" ht="27" customHeight="1" thickBot="1" x14ac:dyDescent="0.3">
      <c r="A74" s="180" t="s">
        <v>129</v>
      </c>
      <c r="B74" s="181" t="s">
        <v>466</v>
      </c>
      <c r="C74" s="182" t="s">
        <v>49</v>
      </c>
      <c r="D74" s="182"/>
      <c r="E74" s="289" t="s">
        <v>49</v>
      </c>
      <c r="F74" s="290"/>
      <c r="G74" s="183">
        <v>0.05</v>
      </c>
      <c r="H74" s="184" t="s">
        <v>49</v>
      </c>
    </row>
    <row r="75" spans="1:8" ht="12" customHeight="1" x14ac:dyDescent="0.25"/>
    <row r="76" spans="1:8" x14ac:dyDescent="0.25">
      <c r="B76" s="161" t="s">
        <v>957</v>
      </c>
    </row>
  </sheetData>
  <mergeCells count="96">
    <mergeCell ref="A70:A71"/>
    <mergeCell ref="A25:A28"/>
    <mergeCell ref="A29:A31"/>
    <mergeCell ref="A32:A33"/>
    <mergeCell ref="A62:A65"/>
    <mergeCell ref="A66:A69"/>
    <mergeCell ref="D25:D28"/>
    <mergeCell ref="D29:D31"/>
    <mergeCell ref="D32:D33"/>
    <mergeCell ref="D8:D23"/>
    <mergeCell ref="E72:F72"/>
    <mergeCell ref="E73:F73"/>
    <mergeCell ref="E74:F74"/>
    <mergeCell ref="E67:F67"/>
    <mergeCell ref="E68:F68"/>
    <mergeCell ref="E69:F69"/>
    <mergeCell ref="E70:F70"/>
    <mergeCell ref="G70:G71"/>
    <mergeCell ref="E71:F71"/>
    <mergeCell ref="E60:F60"/>
    <mergeCell ref="B61:G61"/>
    <mergeCell ref="H61:H71"/>
    <mergeCell ref="E62:F62"/>
    <mergeCell ref="G62:G65"/>
    <mergeCell ref="E63:F63"/>
    <mergeCell ref="E64:F64"/>
    <mergeCell ref="E65:F65"/>
    <mergeCell ref="E66:F66"/>
    <mergeCell ref="G66:G69"/>
    <mergeCell ref="D62:D65"/>
    <mergeCell ref="D66:D69"/>
    <mergeCell ref="D70:D71"/>
    <mergeCell ref="A54:A57"/>
    <mergeCell ref="A58:A59"/>
    <mergeCell ref="E40:F40"/>
    <mergeCell ref="E41:F41"/>
    <mergeCell ref="E42:F42"/>
    <mergeCell ref="E43:F43"/>
    <mergeCell ref="E44:F44"/>
    <mergeCell ref="E45:F45"/>
    <mergeCell ref="A36:A47"/>
    <mergeCell ref="E46:F46"/>
    <mergeCell ref="E47:F47"/>
    <mergeCell ref="E48:F48"/>
    <mergeCell ref="E49:F49"/>
    <mergeCell ref="F50:F59"/>
    <mergeCell ref="D37:D59"/>
    <mergeCell ref="G29:G31"/>
    <mergeCell ref="E30:F30"/>
    <mergeCell ref="E31:F31"/>
    <mergeCell ref="B34:G34"/>
    <mergeCell ref="H34:H59"/>
    <mergeCell ref="C35:C59"/>
    <mergeCell ref="E35:F35"/>
    <mergeCell ref="G35:G59"/>
    <mergeCell ref="E36:F36"/>
    <mergeCell ref="E37:F37"/>
    <mergeCell ref="E38:F38"/>
    <mergeCell ref="E39:F39"/>
    <mergeCell ref="E18:F18"/>
    <mergeCell ref="H24:H33"/>
    <mergeCell ref="E25:F25"/>
    <mergeCell ref="G25:G28"/>
    <mergeCell ref="E26:F26"/>
    <mergeCell ref="E27:F27"/>
    <mergeCell ref="E32:F32"/>
    <mergeCell ref="G32:G33"/>
    <mergeCell ref="E33:F33"/>
    <mergeCell ref="E20:F20"/>
    <mergeCell ref="E21:F21"/>
    <mergeCell ref="E22:F22"/>
    <mergeCell ref="E23:F23"/>
    <mergeCell ref="B24:G24"/>
    <mergeCell ref="E28:F28"/>
    <mergeCell ref="E29:F29"/>
    <mergeCell ref="E13:F13"/>
    <mergeCell ref="E14:F14"/>
    <mergeCell ref="E15:F15"/>
    <mergeCell ref="E16:F16"/>
    <mergeCell ref="E17:F17"/>
    <mergeCell ref="A1:H1"/>
    <mergeCell ref="E3:F3"/>
    <mergeCell ref="E4:F4"/>
    <mergeCell ref="E5:F5"/>
    <mergeCell ref="B6:G6"/>
    <mergeCell ref="H6:H23"/>
    <mergeCell ref="C7:C23"/>
    <mergeCell ref="E7:F7"/>
    <mergeCell ref="G7:G23"/>
    <mergeCell ref="A8:A23"/>
    <mergeCell ref="E19:F19"/>
    <mergeCell ref="E8:F8"/>
    <mergeCell ref="E9:F9"/>
    <mergeCell ref="E10:F10"/>
    <mergeCell ref="E11:F11"/>
    <mergeCell ref="E12:F12"/>
  </mergeCells>
  <printOptions horizontalCentered="1"/>
  <pageMargins left="0.31496062992125984" right="0.31496062992125984" top="0.35433070866141736" bottom="0.19685039370078741" header="0.31496062992125984" footer="0.31496062992125984"/>
  <pageSetup paperSize="9" scale="56" fitToHeight="2" orientation="landscape" r:id="rId1"/>
  <rowBreaks count="1" manualBreakCount="1">
    <brk id="43"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2"/>
  <sheetViews>
    <sheetView view="pageBreakPreview" zoomScaleNormal="100" zoomScaleSheetLayoutView="100" workbookViewId="0">
      <pane xSplit="2" ySplit="1" topLeftCell="C53" activePane="bottomRight" state="frozen"/>
      <selection pane="topRight" activeCell="C1" sqref="C1"/>
      <selection pane="bottomLeft" activeCell="A2" sqref="A2"/>
      <selection pane="bottomRight" activeCell="F24" sqref="F24"/>
    </sheetView>
  </sheetViews>
  <sheetFormatPr defaultRowHeight="16.5" x14ac:dyDescent="0.25"/>
  <cols>
    <col min="1" max="1" width="6.7109375" style="81" customWidth="1"/>
    <col min="2" max="2" width="92.42578125" style="69" customWidth="1"/>
    <col min="3" max="16384" width="9.140625" style="69"/>
  </cols>
  <sheetData>
    <row r="1" spans="1:2" ht="27" customHeight="1" x14ac:dyDescent="0.25">
      <c r="A1" s="224" t="s">
        <v>434</v>
      </c>
      <c r="B1" s="226"/>
    </row>
    <row r="2" spans="1:2" ht="6.75" customHeight="1" x14ac:dyDescent="0.25">
      <c r="A2" s="80"/>
      <c r="B2" s="76"/>
    </row>
    <row r="3" spans="1:2" x14ac:dyDescent="0.25">
      <c r="A3" s="291" t="s">
        <v>389</v>
      </c>
      <c r="B3" s="291"/>
    </row>
    <row r="4" spans="1:2" x14ac:dyDescent="0.25">
      <c r="A4" s="78">
        <v>1.1000000000000001</v>
      </c>
      <c r="B4" s="67" t="s">
        <v>330</v>
      </c>
    </row>
    <row r="5" spans="1:2" x14ac:dyDescent="0.25">
      <c r="A5" s="78">
        <f>+A4+0.1</f>
        <v>1.2000000000000002</v>
      </c>
      <c r="B5" s="67" t="s">
        <v>439</v>
      </c>
    </row>
    <row r="6" spans="1:2" x14ac:dyDescent="0.25">
      <c r="A6" s="78">
        <f t="shared" ref="A6:A7" si="0">+A5+0.1</f>
        <v>1.3000000000000003</v>
      </c>
      <c r="B6" s="67" t="s">
        <v>437</v>
      </c>
    </row>
    <row r="7" spans="1:2" x14ac:dyDescent="0.25">
      <c r="A7" s="78">
        <f t="shared" si="0"/>
        <v>1.4000000000000004</v>
      </c>
      <c r="B7" s="67" t="s">
        <v>684</v>
      </c>
    </row>
    <row r="8" spans="1:2" x14ac:dyDescent="0.25">
      <c r="A8" s="78">
        <f t="shared" ref="A8:A10" si="1">+A7+0.1</f>
        <v>1.5000000000000004</v>
      </c>
      <c r="B8" s="67" t="s">
        <v>331</v>
      </c>
    </row>
    <row r="9" spans="1:2" x14ac:dyDescent="0.25">
      <c r="A9" s="78">
        <f t="shared" si="1"/>
        <v>1.6000000000000005</v>
      </c>
      <c r="B9" s="67" t="s">
        <v>440</v>
      </c>
    </row>
    <row r="10" spans="1:2" x14ac:dyDescent="0.25">
      <c r="A10" s="78">
        <f t="shared" si="1"/>
        <v>1.7000000000000006</v>
      </c>
      <c r="B10" s="67" t="s">
        <v>400</v>
      </c>
    </row>
    <row r="11" spans="1:2" x14ac:dyDescent="0.25">
      <c r="A11" s="291" t="s">
        <v>390</v>
      </c>
      <c r="B11" s="291"/>
    </row>
    <row r="12" spans="1:2" x14ac:dyDescent="0.25">
      <c r="A12" s="78">
        <v>2.1</v>
      </c>
      <c r="B12" s="67" t="s">
        <v>348</v>
      </c>
    </row>
    <row r="13" spans="1:2" x14ac:dyDescent="0.25">
      <c r="A13" s="78">
        <f>+A12+0.1</f>
        <v>2.2000000000000002</v>
      </c>
      <c r="B13" s="67" t="s">
        <v>458</v>
      </c>
    </row>
    <row r="14" spans="1:2" x14ac:dyDescent="0.25">
      <c r="A14" s="78">
        <f t="shared" ref="A14:A17" si="2">+A13+0.1</f>
        <v>2.3000000000000003</v>
      </c>
      <c r="B14" s="67" t="s">
        <v>456</v>
      </c>
    </row>
    <row r="15" spans="1:2" x14ac:dyDescent="0.25">
      <c r="A15" s="78">
        <f t="shared" si="2"/>
        <v>2.4000000000000004</v>
      </c>
      <c r="B15" s="67" t="s">
        <v>459</v>
      </c>
    </row>
    <row r="16" spans="1:2" ht="33" x14ac:dyDescent="0.25">
      <c r="A16" s="78">
        <f t="shared" si="2"/>
        <v>2.5000000000000004</v>
      </c>
      <c r="B16" s="67" t="s">
        <v>378</v>
      </c>
    </row>
    <row r="17" spans="1:2" x14ac:dyDescent="0.25">
      <c r="A17" s="78">
        <f t="shared" si="2"/>
        <v>2.6000000000000005</v>
      </c>
      <c r="B17" s="67" t="s">
        <v>700</v>
      </c>
    </row>
    <row r="18" spans="1:2" x14ac:dyDescent="0.25">
      <c r="A18" s="78">
        <f t="shared" ref="A18:A19" si="3">+A17+0.1</f>
        <v>2.7000000000000006</v>
      </c>
      <c r="B18" s="67" t="s">
        <v>351</v>
      </c>
    </row>
    <row r="19" spans="1:2" x14ac:dyDescent="0.25">
      <c r="A19" s="78">
        <f t="shared" si="3"/>
        <v>2.8000000000000007</v>
      </c>
      <c r="B19" s="67" t="s">
        <v>436</v>
      </c>
    </row>
    <row r="20" spans="1:2" x14ac:dyDescent="0.25">
      <c r="A20" s="291" t="s">
        <v>391</v>
      </c>
      <c r="B20" s="291"/>
    </row>
    <row r="21" spans="1:2" ht="33" x14ac:dyDescent="0.25">
      <c r="A21" s="78">
        <v>3.1</v>
      </c>
      <c r="B21" s="67" t="s">
        <v>254</v>
      </c>
    </row>
    <row r="22" spans="1:2" ht="33" x14ac:dyDescent="0.25">
      <c r="A22" s="78">
        <f t="shared" ref="A22:A27" si="4">+A21+0.1</f>
        <v>3.2</v>
      </c>
      <c r="B22" s="67" t="s">
        <v>367</v>
      </c>
    </row>
    <row r="23" spans="1:2" x14ac:dyDescent="0.25">
      <c r="A23" s="78">
        <f t="shared" si="4"/>
        <v>3.3000000000000003</v>
      </c>
      <c r="B23" s="67" t="s">
        <v>438</v>
      </c>
    </row>
    <row r="24" spans="1:2" x14ac:dyDescent="0.25">
      <c r="A24" s="78">
        <f t="shared" si="4"/>
        <v>3.4000000000000004</v>
      </c>
      <c r="B24" s="67" t="s">
        <v>441</v>
      </c>
    </row>
    <row r="25" spans="1:2" ht="33" x14ac:dyDescent="0.25">
      <c r="A25" s="78">
        <f t="shared" si="4"/>
        <v>3.5000000000000004</v>
      </c>
      <c r="B25" s="67" t="s">
        <v>333</v>
      </c>
    </row>
    <row r="26" spans="1:2" x14ac:dyDescent="0.25">
      <c r="A26" s="78">
        <f t="shared" si="4"/>
        <v>3.6000000000000005</v>
      </c>
      <c r="B26" s="67" t="s">
        <v>301</v>
      </c>
    </row>
    <row r="27" spans="1:2" x14ac:dyDescent="0.25">
      <c r="A27" s="78">
        <f t="shared" si="4"/>
        <v>3.7000000000000006</v>
      </c>
      <c r="B27" s="67" t="s">
        <v>260</v>
      </c>
    </row>
    <row r="28" spans="1:2" ht="49.5" x14ac:dyDescent="0.25">
      <c r="A28" s="78"/>
      <c r="B28" s="74" t="s">
        <v>397</v>
      </c>
    </row>
    <row r="29" spans="1:2" x14ac:dyDescent="0.25">
      <c r="A29" s="78">
        <f>+A27+0.1</f>
        <v>3.8000000000000007</v>
      </c>
      <c r="B29" s="67" t="s">
        <v>366</v>
      </c>
    </row>
    <row r="30" spans="1:2" x14ac:dyDescent="0.25">
      <c r="A30" s="291" t="s">
        <v>392</v>
      </c>
      <c r="B30" s="291"/>
    </row>
    <row r="31" spans="1:2" x14ac:dyDescent="0.25">
      <c r="A31" s="78">
        <v>4.0999999999999996</v>
      </c>
      <c r="B31" s="67" t="s">
        <v>33</v>
      </c>
    </row>
    <row r="32" spans="1:2" x14ac:dyDescent="0.25">
      <c r="A32" s="78"/>
      <c r="B32" s="74" t="s">
        <v>1</v>
      </c>
    </row>
    <row r="33" spans="1:2" x14ac:dyDescent="0.25">
      <c r="A33" s="78"/>
      <c r="B33" s="74" t="s">
        <v>3</v>
      </c>
    </row>
    <row r="34" spans="1:2" x14ac:dyDescent="0.25">
      <c r="A34" s="78"/>
      <c r="B34" s="74" t="s">
        <v>369</v>
      </c>
    </row>
    <row r="35" spans="1:2" x14ac:dyDescent="0.25">
      <c r="A35" s="78"/>
      <c r="B35" s="74" t="s">
        <v>6</v>
      </c>
    </row>
    <row r="36" spans="1:2" x14ac:dyDescent="0.25">
      <c r="A36" s="78"/>
      <c r="B36" s="74" t="s">
        <v>4</v>
      </c>
    </row>
    <row r="37" spans="1:2" x14ac:dyDescent="0.25">
      <c r="A37" s="78"/>
      <c r="B37" s="74" t="s">
        <v>368</v>
      </c>
    </row>
    <row r="38" spans="1:2" x14ac:dyDescent="0.25">
      <c r="A38" s="78"/>
      <c r="B38" s="74" t="s">
        <v>7</v>
      </c>
    </row>
    <row r="39" spans="1:2" x14ac:dyDescent="0.25">
      <c r="A39" s="78">
        <f>+A31+0.1</f>
        <v>4.1999999999999993</v>
      </c>
      <c r="B39" s="67" t="s">
        <v>432</v>
      </c>
    </row>
    <row r="40" spans="1:2" x14ac:dyDescent="0.25">
      <c r="A40" s="78">
        <f t="shared" ref="A40:A46" si="5">+A39+0.1</f>
        <v>4.2999999999999989</v>
      </c>
      <c r="B40" s="67" t="s">
        <v>442</v>
      </c>
    </row>
    <row r="41" spans="1:2" ht="30" customHeight="1" x14ac:dyDescent="0.25">
      <c r="A41" s="78">
        <f t="shared" si="5"/>
        <v>4.3999999999999986</v>
      </c>
      <c r="B41" s="67" t="s">
        <v>433</v>
      </c>
    </row>
    <row r="42" spans="1:2" x14ac:dyDescent="0.25">
      <c r="A42" s="78">
        <f t="shared" si="5"/>
        <v>4.4999999999999982</v>
      </c>
      <c r="B42" s="67" t="s">
        <v>365</v>
      </c>
    </row>
    <row r="43" spans="1:2" x14ac:dyDescent="0.25">
      <c r="A43" s="78">
        <f t="shared" si="5"/>
        <v>4.5999999999999979</v>
      </c>
      <c r="B43" s="67" t="s">
        <v>349</v>
      </c>
    </row>
    <row r="44" spans="1:2" x14ac:dyDescent="0.25">
      <c r="A44" s="78">
        <f t="shared" si="5"/>
        <v>4.6999999999999975</v>
      </c>
      <c r="B44" s="67" t="s">
        <v>443</v>
      </c>
    </row>
    <row r="45" spans="1:2" x14ac:dyDescent="0.25">
      <c r="A45" s="78">
        <f t="shared" si="5"/>
        <v>4.7999999999999972</v>
      </c>
      <c r="B45" s="67" t="s">
        <v>279</v>
      </c>
    </row>
    <row r="46" spans="1:2" x14ac:dyDescent="0.25">
      <c r="A46" s="78">
        <f t="shared" si="5"/>
        <v>4.8999999999999968</v>
      </c>
      <c r="B46" s="67" t="s">
        <v>334</v>
      </c>
    </row>
    <row r="47" spans="1:2" x14ac:dyDescent="0.25">
      <c r="A47" s="79">
        <v>4.0999999999999996</v>
      </c>
      <c r="B47" s="67" t="s">
        <v>300</v>
      </c>
    </row>
    <row r="48" spans="1:2" ht="33" x14ac:dyDescent="0.25">
      <c r="A48" s="79">
        <f>+A47+0.01</f>
        <v>4.1099999999999994</v>
      </c>
      <c r="B48" s="67" t="s">
        <v>304</v>
      </c>
    </row>
    <row r="49" spans="1:2" ht="33" x14ac:dyDescent="0.25">
      <c r="A49" s="79">
        <f>+A48+0.01</f>
        <v>4.1199999999999992</v>
      </c>
      <c r="B49" s="67" t="s">
        <v>305</v>
      </c>
    </row>
    <row r="50" spans="1:2" x14ac:dyDescent="0.25">
      <c r="A50" s="291" t="s">
        <v>393</v>
      </c>
      <c r="B50" s="291"/>
    </row>
    <row r="51" spans="1:2" x14ac:dyDescent="0.25">
      <c r="A51" s="78">
        <v>5.0999999999999996</v>
      </c>
      <c r="B51" s="67" t="s">
        <v>643</v>
      </c>
    </row>
    <row r="52" spans="1:2" x14ac:dyDescent="0.25">
      <c r="A52" s="78">
        <f>+A51+0.1</f>
        <v>5.1999999999999993</v>
      </c>
      <c r="B52" s="67" t="s">
        <v>340</v>
      </c>
    </row>
    <row r="53" spans="1:2" x14ac:dyDescent="0.25">
      <c r="A53" s="78">
        <f>+A52+0.1</f>
        <v>5.2999999999999989</v>
      </c>
      <c r="B53" s="67" t="s">
        <v>364</v>
      </c>
    </row>
    <row r="54" spans="1:2" x14ac:dyDescent="0.25">
      <c r="A54" s="78">
        <f t="shared" ref="A54:A59" si="6">+A53+0.1</f>
        <v>5.3999999999999986</v>
      </c>
      <c r="B54" s="67" t="s">
        <v>341</v>
      </c>
    </row>
    <row r="55" spans="1:2" x14ac:dyDescent="0.25">
      <c r="A55" s="78">
        <f t="shared" si="6"/>
        <v>5.4999999999999982</v>
      </c>
      <c r="B55" s="67" t="s">
        <v>370</v>
      </c>
    </row>
    <row r="56" spans="1:2" x14ac:dyDescent="0.25">
      <c r="A56" s="78">
        <f t="shared" si="6"/>
        <v>5.5999999999999979</v>
      </c>
      <c r="B56" s="67" t="s">
        <v>293</v>
      </c>
    </row>
    <row r="57" spans="1:2" ht="37.5" customHeight="1" x14ac:dyDescent="0.25">
      <c r="A57" s="78">
        <f t="shared" si="6"/>
        <v>5.6999999999999975</v>
      </c>
      <c r="B57" s="67" t="s">
        <v>372</v>
      </c>
    </row>
    <row r="58" spans="1:2" x14ac:dyDescent="0.25">
      <c r="A58" s="78">
        <f t="shared" si="6"/>
        <v>5.7999999999999972</v>
      </c>
      <c r="B58" s="67" t="s">
        <v>58</v>
      </c>
    </row>
    <row r="59" spans="1:2" x14ac:dyDescent="0.25">
      <c r="A59" s="78">
        <f t="shared" si="6"/>
        <v>5.8999999999999968</v>
      </c>
      <c r="B59" s="67" t="s">
        <v>371</v>
      </c>
    </row>
    <row r="60" spans="1:2" x14ac:dyDescent="0.25">
      <c r="A60" s="79">
        <v>5.0999999999999996</v>
      </c>
      <c r="B60" s="67" t="s">
        <v>342</v>
      </c>
    </row>
    <row r="61" spans="1:2" x14ac:dyDescent="0.25">
      <c r="A61" s="79">
        <f>+A60+0.01</f>
        <v>5.1099999999999994</v>
      </c>
      <c r="B61" s="67" t="s">
        <v>343</v>
      </c>
    </row>
    <row r="62" spans="1:2" x14ac:dyDescent="0.25">
      <c r="A62" s="78">
        <f>+A61+0.01</f>
        <v>5.1199999999999992</v>
      </c>
      <c r="B62" s="67" t="s">
        <v>344</v>
      </c>
    </row>
    <row r="63" spans="1:2" x14ac:dyDescent="0.25">
      <c r="A63" s="78">
        <f>+A62+0.01</f>
        <v>5.129999999999999</v>
      </c>
      <c r="B63" s="67" t="s">
        <v>345</v>
      </c>
    </row>
    <row r="64" spans="1:2" x14ac:dyDescent="0.25">
      <c r="A64" s="79">
        <f>+A63+0.01</f>
        <v>5.1399999999999988</v>
      </c>
      <c r="B64" s="67" t="s">
        <v>346</v>
      </c>
    </row>
    <row r="65" spans="1:2" x14ac:dyDescent="0.25">
      <c r="A65" s="291" t="s">
        <v>394</v>
      </c>
      <c r="B65" s="291"/>
    </row>
    <row r="66" spans="1:2" x14ac:dyDescent="0.25">
      <c r="A66" s="78">
        <v>6.1</v>
      </c>
      <c r="B66" s="67" t="s">
        <v>286</v>
      </c>
    </row>
    <row r="67" spans="1:2" x14ac:dyDescent="0.25">
      <c r="A67" s="78">
        <v>6.2</v>
      </c>
      <c r="B67" s="67" t="s">
        <v>428</v>
      </c>
    </row>
    <row r="68" spans="1:2" x14ac:dyDescent="0.25">
      <c r="A68" s="78">
        <v>6.3</v>
      </c>
      <c r="B68" s="67" t="s">
        <v>287</v>
      </c>
    </row>
    <row r="69" spans="1:2" x14ac:dyDescent="0.25">
      <c r="A69" s="78"/>
      <c r="B69" s="74" t="s">
        <v>373</v>
      </c>
    </row>
    <row r="70" spans="1:2" x14ac:dyDescent="0.25">
      <c r="A70" s="78"/>
      <c r="B70" s="74" t="s">
        <v>374</v>
      </c>
    </row>
    <row r="71" spans="1:2" ht="28.5" customHeight="1" x14ac:dyDescent="0.25">
      <c r="A71" s="78"/>
      <c r="B71" s="74" t="s">
        <v>375</v>
      </c>
    </row>
    <row r="72" spans="1:2" x14ac:dyDescent="0.25">
      <c r="A72" s="78"/>
      <c r="B72" s="74" t="s">
        <v>347</v>
      </c>
    </row>
    <row r="73" spans="1:2" x14ac:dyDescent="0.25">
      <c r="A73" s="78"/>
      <c r="B73" s="74" t="s">
        <v>379</v>
      </c>
    </row>
    <row r="74" spans="1:2" x14ac:dyDescent="0.25">
      <c r="A74" s="78"/>
      <c r="B74" s="74" t="s">
        <v>276</v>
      </c>
    </row>
    <row r="75" spans="1:2" x14ac:dyDescent="0.25">
      <c r="A75" s="78"/>
      <c r="B75" s="74" t="s">
        <v>282</v>
      </c>
    </row>
    <row r="76" spans="1:2" x14ac:dyDescent="0.25">
      <c r="A76" s="78"/>
      <c r="B76" s="74" t="s">
        <v>283</v>
      </c>
    </row>
    <row r="77" spans="1:2" x14ac:dyDescent="0.25">
      <c r="A77" s="78"/>
      <c r="B77" s="74" t="s">
        <v>377</v>
      </c>
    </row>
    <row r="78" spans="1:2" x14ac:dyDescent="0.25">
      <c r="A78" s="78"/>
      <c r="B78" s="74" t="s">
        <v>275</v>
      </c>
    </row>
    <row r="79" spans="1:2" x14ac:dyDescent="0.25">
      <c r="A79" s="78">
        <v>6.4</v>
      </c>
      <c r="B79" s="67" t="s">
        <v>339</v>
      </c>
    </row>
    <row r="80" spans="1:2" x14ac:dyDescent="0.25">
      <c r="A80" s="78"/>
      <c r="B80" s="74" t="s">
        <v>39</v>
      </c>
    </row>
    <row r="81" spans="1:2" x14ac:dyDescent="0.25">
      <c r="A81" s="78"/>
      <c r="B81" s="74" t="s">
        <v>250</v>
      </c>
    </row>
    <row r="82" spans="1:2" x14ac:dyDescent="0.25">
      <c r="A82" s="78"/>
      <c r="B82" s="74" t="s">
        <v>267</v>
      </c>
    </row>
    <row r="83" spans="1:2" x14ac:dyDescent="0.25">
      <c r="A83" s="78"/>
      <c r="B83" s="74" t="s">
        <v>268</v>
      </c>
    </row>
    <row r="84" spans="1:2" x14ac:dyDescent="0.25">
      <c r="A84" s="78"/>
      <c r="B84" s="74" t="s">
        <v>266</v>
      </c>
    </row>
    <row r="85" spans="1:2" x14ac:dyDescent="0.25">
      <c r="A85" s="78"/>
      <c r="B85" s="74" t="s">
        <v>380</v>
      </c>
    </row>
    <row r="86" spans="1:2" x14ac:dyDescent="0.25">
      <c r="A86" s="78"/>
      <c r="B86" s="74" t="s">
        <v>277</v>
      </c>
    </row>
    <row r="87" spans="1:2" x14ac:dyDescent="0.25">
      <c r="A87" s="78">
        <v>6.5</v>
      </c>
      <c r="B87" s="67" t="s">
        <v>35</v>
      </c>
    </row>
    <row r="88" spans="1:2" ht="49.5" x14ac:dyDescent="0.25">
      <c r="A88" s="78"/>
      <c r="B88" s="74" t="s">
        <v>444</v>
      </c>
    </row>
    <row r="89" spans="1:2" x14ac:dyDescent="0.25">
      <c r="A89" s="78"/>
      <c r="B89" s="74" t="s">
        <v>424</v>
      </c>
    </row>
    <row r="90" spans="1:2" x14ac:dyDescent="0.25">
      <c r="A90" s="78"/>
      <c r="B90" s="74" t="s">
        <v>303</v>
      </c>
    </row>
    <row r="91" spans="1:2" x14ac:dyDescent="0.25">
      <c r="A91" s="78"/>
      <c r="B91" s="74" t="s">
        <v>294</v>
      </c>
    </row>
    <row r="92" spans="1:2" x14ac:dyDescent="0.25">
      <c r="A92" s="78"/>
      <c r="B92" s="74" t="s">
        <v>447</v>
      </c>
    </row>
    <row r="93" spans="1:2" x14ac:dyDescent="0.25">
      <c r="A93" s="78">
        <v>6.6</v>
      </c>
      <c r="B93" s="67" t="s">
        <v>37</v>
      </c>
    </row>
    <row r="94" spans="1:2" ht="49.5" x14ac:dyDescent="0.25">
      <c r="A94" s="78"/>
      <c r="B94" s="74" t="s">
        <v>423</v>
      </c>
    </row>
    <row r="95" spans="1:2" x14ac:dyDescent="0.25">
      <c r="A95" s="78">
        <v>6.7</v>
      </c>
      <c r="B95" s="67" t="s">
        <v>299</v>
      </c>
    </row>
    <row r="96" spans="1:2" x14ac:dyDescent="0.25">
      <c r="A96" s="78">
        <v>6.8</v>
      </c>
      <c r="B96" s="67" t="s">
        <v>383</v>
      </c>
    </row>
    <row r="97" spans="1:2" ht="29.25" customHeight="1" x14ac:dyDescent="0.25">
      <c r="A97" s="78"/>
      <c r="B97" s="77" t="s">
        <v>358</v>
      </c>
    </row>
    <row r="98" spans="1:2" x14ac:dyDescent="0.25">
      <c r="A98" s="78">
        <v>6.9</v>
      </c>
      <c r="B98" s="67" t="s">
        <v>386</v>
      </c>
    </row>
    <row r="99" spans="1:2" ht="29.25" customHeight="1" x14ac:dyDescent="0.25">
      <c r="A99" s="78"/>
      <c r="B99" s="77" t="s">
        <v>384</v>
      </c>
    </row>
    <row r="100" spans="1:2" ht="15.75" customHeight="1" x14ac:dyDescent="0.25">
      <c r="A100" s="79">
        <v>6.1</v>
      </c>
      <c r="B100" s="67" t="s">
        <v>401</v>
      </c>
    </row>
    <row r="101" spans="1:2" x14ac:dyDescent="0.25">
      <c r="A101" s="291" t="s">
        <v>395</v>
      </c>
      <c r="B101" s="291"/>
    </row>
    <row r="102" spans="1:2" x14ac:dyDescent="0.25">
      <c r="A102" s="78">
        <v>7.1</v>
      </c>
      <c r="B102" s="67" t="s">
        <v>402</v>
      </c>
    </row>
    <row r="103" spans="1:2" x14ac:dyDescent="0.25">
      <c r="A103" s="78">
        <f>+A102+0.1</f>
        <v>7.1999999999999993</v>
      </c>
      <c r="B103" s="67" t="s">
        <v>290</v>
      </c>
    </row>
    <row r="104" spans="1:2" x14ac:dyDescent="0.25">
      <c r="A104" s="78">
        <f t="shared" ref="A104:A110" si="7">+A103+0.1</f>
        <v>7.2999999999999989</v>
      </c>
      <c r="B104" s="67" t="s">
        <v>403</v>
      </c>
    </row>
    <row r="105" spans="1:2" x14ac:dyDescent="0.25">
      <c r="A105" s="78">
        <f t="shared" si="7"/>
        <v>7.3999999999999986</v>
      </c>
      <c r="B105" s="67" t="s">
        <v>255</v>
      </c>
    </row>
    <row r="106" spans="1:2" x14ac:dyDescent="0.25">
      <c r="A106" s="78">
        <f t="shared" si="7"/>
        <v>7.4999999999999982</v>
      </c>
      <c r="B106" s="67" t="s">
        <v>422</v>
      </c>
    </row>
    <row r="107" spans="1:2" x14ac:dyDescent="0.25">
      <c r="A107" s="78">
        <f t="shared" si="7"/>
        <v>7.5999999999999979</v>
      </c>
      <c r="B107" s="67" t="s">
        <v>291</v>
      </c>
    </row>
    <row r="108" spans="1:2" x14ac:dyDescent="0.25">
      <c r="A108" s="78">
        <f t="shared" si="7"/>
        <v>7.6999999999999975</v>
      </c>
      <c r="B108" s="67" t="s">
        <v>288</v>
      </c>
    </row>
    <row r="109" spans="1:2" x14ac:dyDescent="0.25">
      <c r="A109" s="78">
        <f t="shared" si="7"/>
        <v>7.7999999999999972</v>
      </c>
      <c r="B109" s="67" t="s">
        <v>404</v>
      </c>
    </row>
    <row r="110" spans="1:2" x14ac:dyDescent="0.25">
      <c r="A110" s="78">
        <f t="shared" si="7"/>
        <v>7.8999999999999968</v>
      </c>
      <c r="B110" s="67" t="s">
        <v>338</v>
      </c>
    </row>
    <row r="111" spans="1:2" x14ac:dyDescent="0.25">
      <c r="A111" s="79">
        <v>7.1</v>
      </c>
      <c r="B111" s="67" t="s">
        <v>418</v>
      </c>
    </row>
    <row r="112" spans="1:2" x14ac:dyDescent="0.25">
      <c r="A112" s="79">
        <f>+A111+0.01</f>
        <v>7.1099999999999994</v>
      </c>
      <c r="B112" s="67" t="s">
        <v>419</v>
      </c>
    </row>
    <row r="113" spans="1:2" x14ac:dyDescent="0.25">
      <c r="A113" s="79">
        <f t="shared" ref="A113:A115" si="8">+A112+0.01</f>
        <v>7.1199999999999992</v>
      </c>
      <c r="B113" s="67" t="s">
        <v>420</v>
      </c>
    </row>
    <row r="114" spans="1:2" x14ac:dyDescent="0.25">
      <c r="A114" s="79">
        <f t="shared" si="8"/>
        <v>7.129999999999999</v>
      </c>
      <c r="B114" s="67" t="s">
        <v>421</v>
      </c>
    </row>
    <row r="115" spans="1:2" ht="31.5" x14ac:dyDescent="0.25">
      <c r="A115" s="79">
        <f t="shared" si="8"/>
        <v>7.1399999999999988</v>
      </c>
      <c r="B115" s="67" t="s">
        <v>405</v>
      </c>
    </row>
    <row r="116" spans="1:2" x14ac:dyDescent="0.25">
      <c r="A116" s="291" t="s">
        <v>396</v>
      </c>
      <c r="B116" s="291"/>
    </row>
    <row r="117" spans="1:2" x14ac:dyDescent="0.25">
      <c r="A117" s="78">
        <v>8.1</v>
      </c>
      <c r="B117" s="67" t="s">
        <v>398</v>
      </c>
    </row>
    <row r="118" spans="1:2" x14ac:dyDescent="0.25">
      <c r="A118" s="78">
        <v>8.1999999999999993</v>
      </c>
      <c r="B118" s="67" t="s">
        <v>381</v>
      </c>
    </row>
    <row r="119" spans="1:2" x14ac:dyDescent="0.25">
      <c r="A119" s="78">
        <v>8.3000000000000007</v>
      </c>
      <c r="B119" s="67" t="s">
        <v>382</v>
      </c>
    </row>
    <row r="120" spans="1:2" x14ac:dyDescent="0.25">
      <c r="A120" s="78">
        <v>8.4</v>
      </c>
      <c r="B120" s="67" t="s">
        <v>426</v>
      </c>
    </row>
    <row r="121" spans="1:2" x14ac:dyDescent="0.25">
      <c r="A121" s="78">
        <v>8.5</v>
      </c>
      <c r="B121" s="67" t="s">
        <v>326</v>
      </c>
    </row>
    <row r="122" spans="1:2" x14ac:dyDescent="0.25">
      <c r="A122" s="78"/>
      <c r="B122" s="74" t="s">
        <v>429</v>
      </c>
    </row>
    <row r="123" spans="1:2" x14ac:dyDescent="0.25">
      <c r="A123" s="78"/>
      <c r="B123" s="74" t="s">
        <v>325</v>
      </c>
    </row>
    <row r="124" spans="1:2" x14ac:dyDescent="0.25">
      <c r="A124" s="78"/>
      <c r="B124" s="74" t="s">
        <v>430</v>
      </c>
    </row>
    <row r="125" spans="1:2" x14ac:dyDescent="0.25">
      <c r="A125" s="78"/>
      <c r="B125" s="74" t="s">
        <v>327</v>
      </c>
    </row>
    <row r="126" spans="1:2" x14ac:dyDescent="0.25">
      <c r="A126" s="78"/>
      <c r="B126" s="74" t="s">
        <v>328</v>
      </c>
    </row>
    <row r="127" spans="1:2" x14ac:dyDescent="0.25">
      <c r="A127" s="78"/>
      <c r="B127" s="74" t="s">
        <v>425</v>
      </c>
    </row>
    <row r="128" spans="1:2" x14ac:dyDescent="0.25">
      <c r="A128" s="78"/>
      <c r="B128" s="74" t="s">
        <v>360</v>
      </c>
    </row>
    <row r="129" spans="1:2" x14ac:dyDescent="0.25">
      <c r="A129" s="78" t="s">
        <v>399</v>
      </c>
      <c r="B129" s="82" t="s">
        <v>247</v>
      </c>
    </row>
    <row r="130" spans="1:2" x14ac:dyDescent="0.25">
      <c r="A130" s="78"/>
      <c r="B130" s="74" t="s">
        <v>318</v>
      </c>
    </row>
    <row r="131" spans="1:2" x14ac:dyDescent="0.25">
      <c r="A131" s="78"/>
      <c r="B131" s="74" t="s">
        <v>319</v>
      </c>
    </row>
    <row r="132" spans="1:2" x14ac:dyDescent="0.25">
      <c r="A132" s="78"/>
      <c r="B132" s="74" t="s">
        <v>320</v>
      </c>
    </row>
    <row r="133" spans="1:2" ht="33" x14ac:dyDescent="0.25">
      <c r="A133" s="78"/>
      <c r="B133" s="74" t="s">
        <v>321</v>
      </c>
    </row>
    <row r="134" spans="1:2" ht="33" x14ac:dyDescent="0.25">
      <c r="A134" s="78"/>
      <c r="B134" s="74" t="s">
        <v>322</v>
      </c>
    </row>
    <row r="135" spans="1:2" x14ac:dyDescent="0.25">
      <c r="A135" s="78"/>
      <c r="B135" s="74" t="s">
        <v>323</v>
      </c>
    </row>
    <row r="136" spans="1:2" x14ac:dyDescent="0.25">
      <c r="A136" s="78" t="s">
        <v>399</v>
      </c>
      <c r="B136" s="82" t="s">
        <v>329</v>
      </c>
    </row>
    <row r="137" spans="1:2" ht="33" x14ac:dyDescent="0.25">
      <c r="A137" s="78"/>
      <c r="B137" s="74" t="s">
        <v>307</v>
      </c>
    </row>
    <row r="138" spans="1:2" x14ac:dyDescent="0.25">
      <c r="A138" s="78"/>
      <c r="B138" s="74" t="s">
        <v>306</v>
      </c>
    </row>
    <row r="139" spans="1:2" ht="33" x14ac:dyDescent="0.25">
      <c r="A139" s="78"/>
      <c r="B139" s="74" t="s">
        <v>308</v>
      </c>
    </row>
    <row r="140" spans="1:2" ht="33" x14ac:dyDescent="0.25">
      <c r="A140" s="78"/>
      <c r="B140" s="74" t="s">
        <v>309</v>
      </c>
    </row>
    <row r="141" spans="1:2" ht="33" x14ac:dyDescent="0.25">
      <c r="A141" s="78"/>
      <c r="B141" s="74" t="s">
        <v>310</v>
      </c>
    </row>
    <row r="142" spans="1:2" x14ac:dyDescent="0.25">
      <c r="A142" s="78"/>
      <c r="B142" s="74" t="s">
        <v>312</v>
      </c>
    </row>
    <row r="143" spans="1:2" ht="33" x14ac:dyDescent="0.25">
      <c r="A143" s="78"/>
      <c r="B143" s="74" t="s">
        <v>311</v>
      </c>
    </row>
    <row r="144" spans="1:2" x14ac:dyDescent="0.25">
      <c r="A144" s="78"/>
      <c r="B144" s="74" t="s">
        <v>313</v>
      </c>
    </row>
    <row r="145" spans="1:2" ht="33" x14ac:dyDescent="0.25">
      <c r="A145" s="78"/>
      <c r="B145" s="74" t="s">
        <v>316</v>
      </c>
    </row>
    <row r="146" spans="1:2" x14ac:dyDescent="0.25">
      <c r="A146" s="78"/>
      <c r="B146" s="74" t="s">
        <v>315</v>
      </c>
    </row>
    <row r="147" spans="1:2" ht="33" x14ac:dyDescent="0.25">
      <c r="A147" s="78"/>
      <c r="B147" s="74" t="s">
        <v>314</v>
      </c>
    </row>
    <row r="148" spans="1:2" x14ac:dyDescent="0.25">
      <c r="A148" s="78"/>
      <c r="B148" s="74" t="s">
        <v>237</v>
      </c>
    </row>
    <row r="149" spans="1:2" x14ac:dyDescent="0.25">
      <c r="A149" s="78"/>
      <c r="B149" s="75" t="s">
        <v>227</v>
      </c>
    </row>
    <row r="150" spans="1:2" x14ac:dyDescent="0.25">
      <c r="A150" s="78"/>
      <c r="B150" s="75" t="s">
        <v>228</v>
      </c>
    </row>
    <row r="151" spans="1:2" ht="49.5" x14ac:dyDescent="0.25">
      <c r="A151" s="78"/>
      <c r="B151" s="75" t="s">
        <v>239</v>
      </c>
    </row>
    <row r="152" spans="1:2" x14ac:dyDescent="0.25">
      <c r="A152" s="78"/>
      <c r="B152" s="75" t="s">
        <v>229</v>
      </c>
    </row>
    <row r="153" spans="1:2" x14ac:dyDescent="0.25">
      <c r="A153" s="78"/>
      <c r="B153" s="75" t="s">
        <v>230</v>
      </c>
    </row>
    <row r="154" spans="1:2" x14ac:dyDescent="0.25">
      <c r="A154" s="78"/>
      <c r="B154" s="75" t="s">
        <v>231</v>
      </c>
    </row>
    <row r="155" spans="1:2" x14ac:dyDescent="0.25">
      <c r="A155" s="78"/>
      <c r="B155" s="75" t="s">
        <v>232</v>
      </c>
    </row>
    <row r="156" spans="1:2" x14ac:dyDescent="0.25">
      <c r="A156" s="78"/>
      <c r="B156" s="75" t="s">
        <v>233</v>
      </c>
    </row>
    <row r="157" spans="1:2" x14ac:dyDescent="0.25">
      <c r="A157" s="78"/>
      <c r="B157" s="75" t="s">
        <v>234</v>
      </c>
    </row>
    <row r="158" spans="1:2" x14ac:dyDescent="0.25">
      <c r="A158" s="78"/>
      <c r="B158" s="75" t="s">
        <v>235</v>
      </c>
    </row>
    <row r="159" spans="1:2" x14ac:dyDescent="0.25">
      <c r="A159" s="78"/>
      <c r="B159" s="74" t="s">
        <v>238</v>
      </c>
    </row>
    <row r="160" spans="1:2" x14ac:dyDescent="0.25">
      <c r="A160" s="78"/>
      <c r="B160" s="75" t="s">
        <v>317</v>
      </c>
    </row>
    <row r="161" spans="1:2" x14ac:dyDescent="0.25">
      <c r="A161" s="78"/>
      <c r="B161" s="75" t="s">
        <v>236</v>
      </c>
    </row>
    <row r="162" spans="1:2" x14ac:dyDescent="0.25">
      <c r="A162" s="78"/>
      <c r="B162" s="75" t="s">
        <v>226</v>
      </c>
    </row>
  </sheetData>
  <mergeCells count="9">
    <mergeCell ref="A50:B50"/>
    <mergeCell ref="A65:B65"/>
    <mergeCell ref="A101:B101"/>
    <mergeCell ref="A116:B116"/>
    <mergeCell ref="A1:B1"/>
    <mergeCell ref="A3:B3"/>
    <mergeCell ref="A11:B11"/>
    <mergeCell ref="A20:B20"/>
    <mergeCell ref="A30:B30"/>
  </mergeCells>
  <pageMargins left="0.31496062992125984" right="0.31496062992125984" top="0.35433070866141736" bottom="0.19685039370078741" header="0.31496062992125984" footer="0.31496062992125984"/>
  <pageSetup paperSize="9" scale="98" fitToHeight="100" orientation="portrait" r:id="rId1"/>
  <rowBreaks count="2" manualBreakCount="2">
    <brk id="86" max="1" man="1"/>
    <brk id="128"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03D4-D772-45E3-AB32-AD7E1F21A6B8}">
  <sheetPr>
    <tabColor rgb="FFFFFF00"/>
  </sheetPr>
  <dimension ref="A1:AH72"/>
  <sheetViews>
    <sheetView view="pageBreakPreview" zoomScale="70" zoomScaleNormal="100" zoomScaleSheetLayoutView="70" workbookViewId="0">
      <selection activeCell="F12" sqref="F12"/>
    </sheetView>
  </sheetViews>
  <sheetFormatPr defaultRowHeight="18" x14ac:dyDescent="0.25"/>
  <cols>
    <col min="1" max="1" width="6.5703125" style="120" customWidth="1"/>
    <col min="2" max="2" width="96.7109375" style="118" customWidth="1"/>
    <col min="3" max="34" width="12.7109375" style="118" customWidth="1"/>
    <col min="35" max="16384" width="9.140625" style="118"/>
  </cols>
  <sheetData>
    <row r="1" spans="1:34" s="117" customFormat="1" ht="27.75" customHeight="1" x14ac:dyDescent="0.25">
      <c r="A1" s="295" t="s">
        <v>896</v>
      </c>
      <c r="B1" s="295"/>
      <c r="C1" s="294" t="s">
        <v>896</v>
      </c>
      <c r="D1" s="294"/>
      <c r="E1" s="294"/>
      <c r="F1" s="294"/>
      <c r="G1" s="294"/>
      <c r="H1" s="294"/>
      <c r="I1" s="294"/>
      <c r="J1" s="294"/>
      <c r="K1" s="294" t="s">
        <v>896</v>
      </c>
      <c r="L1" s="294"/>
      <c r="M1" s="294"/>
      <c r="N1" s="294"/>
      <c r="O1" s="294"/>
      <c r="P1" s="294"/>
      <c r="Q1" s="294"/>
      <c r="R1" s="294"/>
      <c r="S1" s="294" t="s">
        <v>896</v>
      </c>
      <c r="T1" s="294"/>
      <c r="U1" s="294"/>
      <c r="V1" s="294"/>
      <c r="W1" s="294"/>
      <c r="X1" s="294"/>
      <c r="Y1" s="294"/>
      <c r="Z1" s="294"/>
      <c r="AA1" s="294" t="s">
        <v>896</v>
      </c>
      <c r="AB1" s="294"/>
      <c r="AC1" s="294"/>
      <c r="AD1" s="294"/>
      <c r="AE1" s="294"/>
      <c r="AF1" s="294"/>
      <c r="AG1" s="294"/>
      <c r="AH1" s="294"/>
    </row>
    <row r="2" spans="1:34" s="117" customFormat="1" ht="54" customHeight="1" x14ac:dyDescent="0.25">
      <c r="A2" s="87" t="s">
        <v>671</v>
      </c>
      <c r="B2" s="87" t="s">
        <v>653</v>
      </c>
      <c r="C2" s="87" t="s">
        <v>976</v>
      </c>
      <c r="D2" s="87" t="s">
        <v>977</v>
      </c>
      <c r="E2" s="87" t="s">
        <v>978</v>
      </c>
      <c r="F2" s="87" t="s">
        <v>979</v>
      </c>
      <c r="G2" s="87" t="s">
        <v>980</v>
      </c>
      <c r="H2" s="87" t="s">
        <v>981</v>
      </c>
      <c r="I2" s="87" t="s">
        <v>982</v>
      </c>
      <c r="J2" s="87" t="s">
        <v>983</v>
      </c>
      <c r="K2" s="87" t="s">
        <v>984</v>
      </c>
      <c r="L2" s="87" t="s">
        <v>985</v>
      </c>
      <c r="M2" s="87" t="s">
        <v>986</v>
      </c>
      <c r="N2" s="87" t="s">
        <v>987</v>
      </c>
      <c r="O2" s="87" t="s">
        <v>988</v>
      </c>
      <c r="P2" s="87" t="s">
        <v>812</v>
      </c>
      <c r="Q2" s="87" t="s">
        <v>989</v>
      </c>
      <c r="R2" s="87" t="s">
        <v>990</v>
      </c>
      <c r="S2" s="87" t="s">
        <v>995</v>
      </c>
      <c r="T2" s="87" t="s">
        <v>816</v>
      </c>
      <c r="U2" s="87" t="s">
        <v>991</v>
      </c>
      <c r="V2" s="87" t="s">
        <v>992</v>
      </c>
      <c r="W2" s="87" t="s">
        <v>993</v>
      </c>
      <c r="X2" s="87" t="s">
        <v>994</v>
      </c>
      <c r="Y2" s="87" t="s">
        <v>996</v>
      </c>
      <c r="Z2" s="87"/>
      <c r="AA2" s="87"/>
      <c r="AB2" s="87"/>
      <c r="AC2" s="87"/>
      <c r="AD2" s="87"/>
      <c r="AE2" s="87"/>
      <c r="AF2" s="87"/>
      <c r="AG2" s="87"/>
      <c r="AH2" s="87"/>
    </row>
    <row r="3" spans="1:34" s="126" customFormat="1" ht="27" customHeight="1" x14ac:dyDescent="0.25">
      <c r="A3" s="121">
        <v>0</v>
      </c>
      <c r="B3" s="125" t="s">
        <v>721</v>
      </c>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row>
    <row r="4" spans="1:34" s="126" customFormat="1" ht="27" customHeight="1" x14ac:dyDescent="0.25">
      <c r="A4" s="121">
        <f>+A3+1</f>
        <v>1</v>
      </c>
      <c r="B4" s="125" t="s">
        <v>958</v>
      </c>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row>
    <row r="5" spans="1:34" s="126" customFormat="1" ht="27" customHeight="1" x14ac:dyDescent="0.25">
      <c r="A5" s="121">
        <f>+A4+1</f>
        <v>2</v>
      </c>
      <c r="B5" s="185" t="s">
        <v>744</v>
      </c>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row>
    <row r="6" spans="1:34" s="126" customFormat="1" ht="23.25" customHeight="1" x14ac:dyDescent="0.25">
      <c r="A6" s="123">
        <f>+A5+0.1</f>
        <v>2.1</v>
      </c>
      <c r="B6" s="157" t="s">
        <v>897</v>
      </c>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187"/>
      <c r="AG6" s="187"/>
      <c r="AH6" s="187"/>
    </row>
    <row r="7" spans="1:34" s="126" customFormat="1" ht="21.75" customHeight="1" x14ac:dyDescent="0.25">
      <c r="A7" s="293">
        <f>+A6+0.1</f>
        <v>2.2000000000000002</v>
      </c>
      <c r="B7" s="157" t="s">
        <v>899</v>
      </c>
      <c r="C7" s="187"/>
      <c r="D7" s="187"/>
      <c r="E7" s="187"/>
      <c r="F7" s="187"/>
      <c r="G7" s="187"/>
      <c r="H7" s="18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row>
    <row r="8" spans="1:34" ht="20.100000000000001" customHeight="1" x14ac:dyDescent="0.25">
      <c r="A8" s="293"/>
      <c r="B8" s="127" t="s">
        <v>900</v>
      </c>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row>
    <row r="9" spans="1:34" ht="20.100000000000001" customHeight="1" x14ac:dyDescent="0.25">
      <c r="A9" s="293"/>
      <c r="B9" s="127" t="s">
        <v>901</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row>
    <row r="10" spans="1:34" ht="20.100000000000001" customHeight="1" x14ac:dyDescent="0.25">
      <c r="A10" s="293"/>
      <c r="B10" s="127" t="s">
        <v>902</v>
      </c>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7"/>
      <c r="AF10" s="187"/>
      <c r="AG10" s="187"/>
      <c r="AH10" s="187"/>
    </row>
    <row r="11" spans="1:34" ht="20.100000000000001" customHeight="1" x14ac:dyDescent="0.25">
      <c r="A11" s="293"/>
      <c r="B11" s="127" t="s">
        <v>903</v>
      </c>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row>
    <row r="12" spans="1:34" ht="20.100000000000001" customHeight="1" x14ac:dyDescent="0.25">
      <c r="A12" s="293"/>
      <c r="B12" s="127" t="s">
        <v>905</v>
      </c>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c r="AB12" s="187"/>
      <c r="AC12" s="187"/>
      <c r="AD12" s="187"/>
      <c r="AE12" s="187"/>
      <c r="AF12" s="187"/>
      <c r="AG12" s="187"/>
      <c r="AH12" s="187"/>
    </row>
    <row r="13" spans="1:34" ht="20.100000000000001" customHeight="1" x14ac:dyDescent="0.25">
      <c r="A13" s="293"/>
      <c r="B13" s="127" t="s">
        <v>904</v>
      </c>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c r="AA13" s="187"/>
      <c r="AB13" s="187"/>
      <c r="AC13" s="187"/>
      <c r="AD13" s="187"/>
      <c r="AE13" s="187"/>
      <c r="AF13" s="187"/>
      <c r="AG13" s="187"/>
      <c r="AH13" s="187"/>
    </row>
    <row r="14" spans="1:34" ht="20.100000000000001" customHeight="1" x14ac:dyDescent="0.25">
      <c r="A14" s="293"/>
      <c r="B14" s="127" t="s">
        <v>906</v>
      </c>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row>
    <row r="15" spans="1:34" ht="20.100000000000001" customHeight="1" x14ac:dyDescent="0.25">
      <c r="A15" s="293"/>
      <c r="B15" s="127" t="s">
        <v>908</v>
      </c>
      <c r="C15" s="187"/>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row>
    <row r="16" spans="1:34" ht="20.100000000000001" customHeight="1" x14ac:dyDescent="0.25">
      <c r="A16" s="293"/>
      <c r="B16" s="127" t="s">
        <v>909</v>
      </c>
      <c r="C16" s="187"/>
      <c r="D16" s="187"/>
      <c r="E16" s="187"/>
      <c r="F16" s="187"/>
      <c r="G16" s="187"/>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row>
    <row r="17" spans="1:34" ht="20.100000000000001" customHeight="1" x14ac:dyDescent="0.25">
      <c r="A17" s="293"/>
      <c r="B17" s="127" t="s">
        <v>907</v>
      </c>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row>
    <row r="18" spans="1:34" ht="36" customHeight="1" x14ac:dyDescent="0.25">
      <c r="A18" s="293"/>
      <c r="B18" s="128" t="s">
        <v>911</v>
      </c>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row>
    <row r="19" spans="1:34" ht="20.100000000000001" customHeight="1" x14ac:dyDescent="0.25">
      <c r="A19" s="293"/>
      <c r="B19" s="127" t="s">
        <v>912</v>
      </c>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7"/>
      <c r="AB19" s="187"/>
      <c r="AC19" s="187"/>
      <c r="AD19" s="187"/>
      <c r="AE19" s="187"/>
      <c r="AF19" s="187"/>
      <c r="AG19" s="187"/>
      <c r="AH19" s="187"/>
    </row>
    <row r="20" spans="1:34" ht="20.100000000000001" customHeight="1" x14ac:dyDescent="0.25">
      <c r="A20" s="293"/>
      <c r="B20" s="127" t="s">
        <v>910</v>
      </c>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c r="AB20" s="187"/>
      <c r="AC20" s="187"/>
      <c r="AD20" s="187"/>
      <c r="AE20" s="187"/>
      <c r="AF20" s="187"/>
      <c r="AG20" s="187"/>
      <c r="AH20" s="187"/>
    </row>
    <row r="21" spans="1:34" ht="20.100000000000001" customHeight="1" x14ac:dyDescent="0.25">
      <c r="A21" s="293"/>
      <c r="B21" s="127" t="s">
        <v>913</v>
      </c>
      <c r="C21" s="187"/>
      <c r="D21" s="187"/>
      <c r="E21" s="187"/>
      <c r="F21" s="187"/>
      <c r="G21" s="187"/>
      <c r="H21" s="187"/>
      <c r="I21" s="187"/>
      <c r="J21" s="187"/>
      <c r="K21" s="187"/>
      <c r="L21" s="187"/>
      <c r="M21" s="187"/>
      <c r="N21" s="187"/>
      <c r="O21" s="187"/>
      <c r="P21" s="187"/>
      <c r="Q21" s="187"/>
      <c r="R21" s="187"/>
      <c r="S21" s="187"/>
      <c r="T21" s="187"/>
      <c r="U21" s="187"/>
      <c r="V21" s="187"/>
      <c r="W21" s="187"/>
      <c r="X21" s="187"/>
      <c r="Y21" s="187"/>
      <c r="Z21" s="187"/>
      <c r="AA21" s="187"/>
      <c r="AB21" s="187"/>
      <c r="AC21" s="187"/>
      <c r="AD21" s="187"/>
      <c r="AE21" s="187"/>
      <c r="AF21" s="187"/>
      <c r="AG21" s="187"/>
      <c r="AH21" s="187"/>
    </row>
    <row r="22" spans="1:34" ht="20.100000000000001" customHeight="1" x14ac:dyDescent="0.25">
      <c r="A22" s="293"/>
      <c r="B22" s="127" t="s">
        <v>916</v>
      </c>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row>
    <row r="23" spans="1:34" s="126" customFormat="1" ht="27" customHeight="1" x14ac:dyDescent="0.25">
      <c r="A23" s="121">
        <f>+A5+1</f>
        <v>3</v>
      </c>
      <c r="B23" s="185" t="s">
        <v>410</v>
      </c>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row>
    <row r="24" spans="1:34" ht="20.100000000000001" customHeight="1" x14ac:dyDescent="0.25">
      <c r="A24" s="123">
        <f>+A23+0.1</f>
        <v>3.1</v>
      </c>
      <c r="B24" s="157" t="s">
        <v>923</v>
      </c>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c r="AB24" s="187"/>
      <c r="AC24" s="187"/>
      <c r="AD24" s="187"/>
      <c r="AE24" s="187"/>
      <c r="AF24" s="187"/>
      <c r="AG24" s="187"/>
      <c r="AH24" s="187"/>
    </row>
    <row r="25" spans="1:34" ht="20.100000000000001" customHeight="1" x14ac:dyDescent="0.25">
      <c r="A25" s="123">
        <f>+A24+0.1</f>
        <v>3.2</v>
      </c>
      <c r="B25" s="127" t="s">
        <v>920</v>
      </c>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row>
    <row r="26" spans="1:34" ht="20.100000000000001" customHeight="1" x14ac:dyDescent="0.25">
      <c r="A26" s="123">
        <f>+A25+0.1</f>
        <v>3.3000000000000003</v>
      </c>
      <c r="B26" s="127" t="s">
        <v>921</v>
      </c>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c r="AF26" s="187"/>
      <c r="AG26" s="187"/>
      <c r="AH26" s="187"/>
    </row>
    <row r="27" spans="1:34" ht="20.100000000000001" customHeight="1" x14ac:dyDescent="0.25">
      <c r="A27" s="123">
        <f t="shared" ref="A27:A28" si="0">+A26+0.1</f>
        <v>3.4000000000000004</v>
      </c>
      <c r="B27" s="127" t="s">
        <v>922</v>
      </c>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c r="AF27" s="187"/>
      <c r="AG27" s="187"/>
      <c r="AH27" s="187"/>
    </row>
    <row r="28" spans="1:34" ht="20.100000000000001" customHeight="1" x14ac:dyDescent="0.25">
      <c r="A28" s="123">
        <f t="shared" si="0"/>
        <v>3.5000000000000004</v>
      </c>
      <c r="B28" s="157" t="s">
        <v>924</v>
      </c>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row>
    <row r="29" spans="1:34" ht="20.100000000000001" customHeight="1" x14ac:dyDescent="0.25">
      <c r="A29" s="123">
        <f t="shared" ref="A29:A32" si="1">+A28+0.1</f>
        <v>3.6000000000000005</v>
      </c>
      <c r="B29" s="127" t="s">
        <v>926</v>
      </c>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row>
    <row r="30" spans="1:34" ht="20.100000000000001" customHeight="1" x14ac:dyDescent="0.25">
      <c r="A30" s="123">
        <f t="shared" si="1"/>
        <v>3.7000000000000006</v>
      </c>
      <c r="B30" s="127" t="s">
        <v>927</v>
      </c>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row>
    <row r="31" spans="1:34" ht="20.100000000000001" customHeight="1" x14ac:dyDescent="0.25">
      <c r="A31" s="123">
        <f t="shared" si="1"/>
        <v>3.8000000000000007</v>
      </c>
      <c r="B31" s="157" t="s">
        <v>925</v>
      </c>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row>
    <row r="32" spans="1:34" ht="20.100000000000001" customHeight="1" x14ac:dyDescent="0.25">
      <c r="A32" s="123">
        <f t="shared" si="1"/>
        <v>3.9000000000000008</v>
      </c>
      <c r="B32" s="127" t="s">
        <v>928</v>
      </c>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187"/>
      <c r="AH32" s="187"/>
    </row>
    <row r="33" spans="1:34" s="126" customFormat="1" ht="27" customHeight="1" x14ac:dyDescent="0.25">
      <c r="A33" s="121">
        <f>+A23+1</f>
        <v>4</v>
      </c>
      <c r="B33" s="185" t="s">
        <v>339</v>
      </c>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row>
    <row r="34" spans="1:34" ht="20.100000000000001" customHeight="1" x14ac:dyDescent="0.25">
      <c r="A34" s="123">
        <f>+A33+0.1</f>
        <v>4.0999999999999996</v>
      </c>
      <c r="B34" s="127" t="s">
        <v>939</v>
      </c>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row>
    <row r="35" spans="1:34" ht="20.100000000000001" customHeight="1" x14ac:dyDescent="0.25">
      <c r="A35" s="293">
        <f>+A34+0.1</f>
        <v>4.1999999999999993</v>
      </c>
      <c r="B35" s="127" t="s">
        <v>940</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row>
    <row r="36" spans="1:34" ht="20.100000000000001" customHeight="1" x14ac:dyDescent="0.25">
      <c r="A36" s="293"/>
      <c r="B36" s="130" t="s">
        <v>943</v>
      </c>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c r="AB36" s="187"/>
      <c r="AC36" s="187"/>
      <c r="AD36" s="187"/>
      <c r="AE36" s="187"/>
      <c r="AF36" s="187"/>
      <c r="AG36" s="187"/>
      <c r="AH36" s="187"/>
    </row>
    <row r="37" spans="1:34" ht="20.100000000000001" customHeight="1" x14ac:dyDescent="0.25">
      <c r="A37" s="293"/>
      <c r="B37" s="159" t="s">
        <v>900</v>
      </c>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87"/>
      <c r="AF37" s="187"/>
      <c r="AG37" s="187"/>
      <c r="AH37" s="187"/>
    </row>
    <row r="38" spans="1:34" ht="20.100000000000001" customHeight="1" x14ac:dyDescent="0.25">
      <c r="A38" s="293"/>
      <c r="B38" s="159" t="s">
        <v>901</v>
      </c>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c r="AB38" s="187"/>
      <c r="AC38" s="187"/>
      <c r="AD38" s="187"/>
      <c r="AE38" s="187"/>
      <c r="AF38" s="187"/>
      <c r="AG38" s="187"/>
      <c r="AH38" s="187"/>
    </row>
    <row r="39" spans="1:34" ht="20.100000000000001" customHeight="1" x14ac:dyDescent="0.25">
      <c r="A39" s="293"/>
      <c r="B39" s="159" t="s">
        <v>902</v>
      </c>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row>
    <row r="40" spans="1:34" ht="20.100000000000001" customHeight="1" x14ac:dyDescent="0.25">
      <c r="A40" s="293"/>
      <c r="B40" s="159" t="s">
        <v>941</v>
      </c>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187"/>
      <c r="AH40" s="187"/>
    </row>
    <row r="41" spans="1:34" ht="20.100000000000001" customHeight="1" x14ac:dyDescent="0.25">
      <c r="A41" s="293"/>
      <c r="B41" s="159" t="s">
        <v>905</v>
      </c>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187"/>
      <c r="AH41" s="187"/>
    </row>
    <row r="42" spans="1:34" ht="20.100000000000001" customHeight="1" x14ac:dyDescent="0.25">
      <c r="A42" s="293"/>
      <c r="B42" s="159" t="s">
        <v>904</v>
      </c>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187"/>
      <c r="AH42" s="187"/>
    </row>
    <row r="43" spans="1:34" ht="20.100000000000001" customHeight="1" x14ac:dyDescent="0.25">
      <c r="A43" s="293"/>
      <c r="B43" s="130" t="s">
        <v>942</v>
      </c>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187"/>
      <c r="AH43" s="187"/>
    </row>
    <row r="44" spans="1:34" ht="20.100000000000001" customHeight="1" x14ac:dyDescent="0.25">
      <c r="A44" s="293"/>
      <c r="B44" s="159" t="s">
        <v>906</v>
      </c>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row>
    <row r="45" spans="1:34" ht="20.100000000000001" customHeight="1" x14ac:dyDescent="0.25">
      <c r="A45" s="293"/>
      <c r="B45" s="159" t="s">
        <v>908</v>
      </c>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187"/>
      <c r="AH45" s="187"/>
    </row>
    <row r="46" spans="1:34" ht="20.100000000000001" customHeight="1" x14ac:dyDescent="0.25">
      <c r="A46" s="293"/>
      <c r="B46" s="159" t="s">
        <v>909</v>
      </c>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187"/>
      <c r="AH46" s="187"/>
    </row>
    <row r="47" spans="1:34" ht="20.100000000000001" customHeight="1" x14ac:dyDescent="0.25">
      <c r="A47" s="123">
        <f>+A35+0.1</f>
        <v>4.2999999999999989</v>
      </c>
      <c r="B47" s="127" t="s">
        <v>944</v>
      </c>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c r="AA47" s="187"/>
      <c r="AB47" s="187"/>
      <c r="AC47" s="187"/>
      <c r="AD47" s="187"/>
      <c r="AE47" s="187"/>
      <c r="AF47" s="187"/>
      <c r="AG47" s="187"/>
      <c r="AH47" s="187"/>
    </row>
    <row r="48" spans="1:34" ht="35.1" customHeight="1" x14ac:dyDescent="0.25">
      <c r="A48" s="123">
        <f>+A47+0.1</f>
        <v>4.3999999999999986</v>
      </c>
      <c r="B48" s="128" t="s">
        <v>945</v>
      </c>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row>
    <row r="49" spans="1:34" ht="35.1" customHeight="1" x14ac:dyDescent="0.25">
      <c r="A49" s="123">
        <f t="shared" ref="A49" si="2">+A48+0.1</f>
        <v>4.4999999999999982</v>
      </c>
      <c r="B49" s="128" t="s">
        <v>946</v>
      </c>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row>
    <row r="50" spans="1:34" ht="20.100000000000001" customHeight="1" x14ac:dyDescent="0.25">
      <c r="A50" s="186">
        <f>+A49+0.1</f>
        <v>4.5999999999999979</v>
      </c>
      <c r="B50" s="127" t="s">
        <v>947</v>
      </c>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row>
    <row r="51" spans="1:34" ht="20.100000000000001" customHeight="1" x14ac:dyDescent="0.25">
      <c r="A51" s="186">
        <f>+A50+0.1</f>
        <v>4.6999999999999975</v>
      </c>
      <c r="B51" s="127" t="s">
        <v>948</v>
      </c>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c r="AB51" s="187"/>
      <c r="AC51" s="187"/>
      <c r="AD51" s="187"/>
      <c r="AE51" s="187"/>
      <c r="AF51" s="187"/>
      <c r="AG51" s="187"/>
      <c r="AH51" s="187"/>
    </row>
    <row r="52" spans="1:34" ht="20.100000000000001" customHeight="1" x14ac:dyDescent="0.25">
      <c r="A52" s="186">
        <f>+A51+0.1</f>
        <v>4.7999999999999972</v>
      </c>
      <c r="B52" s="127" t="s">
        <v>949</v>
      </c>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c r="AA52" s="187"/>
      <c r="AB52" s="187"/>
      <c r="AC52" s="187"/>
      <c r="AD52" s="187"/>
      <c r="AE52" s="187"/>
      <c r="AF52" s="187"/>
      <c r="AG52" s="187"/>
      <c r="AH52" s="187"/>
    </row>
    <row r="53" spans="1:34" ht="20.100000000000001" customHeight="1" x14ac:dyDescent="0.25">
      <c r="A53" s="296">
        <f>+A52+0.1</f>
        <v>4.8999999999999968</v>
      </c>
      <c r="B53" s="127" t="s">
        <v>953</v>
      </c>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c r="AB53" s="187"/>
      <c r="AC53" s="187"/>
      <c r="AD53" s="187"/>
      <c r="AE53" s="187"/>
      <c r="AF53" s="187"/>
      <c r="AG53" s="187"/>
      <c r="AH53" s="187"/>
    </row>
    <row r="54" spans="1:34" ht="54" customHeight="1" x14ac:dyDescent="0.25">
      <c r="A54" s="296"/>
      <c r="B54" s="130" t="s">
        <v>954</v>
      </c>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row>
    <row r="55" spans="1:34" ht="32.25" customHeight="1" x14ac:dyDescent="0.25">
      <c r="A55" s="296"/>
      <c r="B55" s="130" t="s">
        <v>955</v>
      </c>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87"/>
      <c r="AF55" s="187"/>
      <c r="AG55" s="187"/>
      <c r="AH55" s="187"/>
    </row>
    <row r="56" spans="1:34" ht="20.100000000000001" customHeight="1" x14ac:dyDescent="0.25">
      <c r="A56" s="296"/>
      <c r="B56" s="129" t="s">
        <v>956</v>
      </c>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row>
    <row r="57" spans="1:34" ht="20.100000000000001" customHeight="1" x14ac:dyDescent="0.25">
      <c r="A57" s="292">
        <f>+A34</f>
        <v>4.0999999999999996</v>
      </c>
      <c r="B57" s="127" t="s">
        <v>950</v>
      </c>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row>
    <row r="58" spans="1:34" ht="20.100000000000001" customHeight="1" x14ac:dyDescent="0.25">
      <c r="A58" s="292"/>
      <c r="B58" s="159" t="s">
        <v>951</v>
      </c>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87"/>
      <c r="AF58" s="187"/>
      <c r="AG58" s="187"/>
      <c r="AH58" s="187"/>
    </row>
    <row r="59" spans="1:34" s="126" customFormat="1" ht="27" customHeight="1" x14ac:dyDescent="0.25">
      <c r="A59" s="121">
        <f>+A33+1</f>
        <v>5</v>
      </c>
      <c r="B59" s="125" t="s">
        <v>335</v>
      </c>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187"/>
      <c r="AF59" s="187"/>
      <c r="AG59" s="187"/>
      <c r="AH59" s="187"/>
    </row>
    <row r="60" spans="1:34" s="126" customFormat="1" ht="24.75" customHeight="1" x14ac:dyDescent="0.25">
      <c r="A60" s="121">
        <f>+A59+1</f>
        <v>6</v>
      </c>
      <c r="B60" s="185" t="s">
        <v>414</v>
      </c>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row>
    <row r="61" spans="1:34" s="126" customFormat="1" x14ac:dyDescent="0.25">
      <c r="A61" s="123">
        <f>+A60+0.1</f>
        <v>6.1</v>
      </c>
      <c r="B61" s="157" t="s">
        <v>929</v>
      </c>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row>
    <row r="62" spans="1:34" ht="20.100000000000001" customHeight="1" x14ac:dyDescent="0.25">
      <c r="A62" s="123">
        <f>+A61+0.1</f>
        <v>6.1999999999999993</v>
      </c>
      <c r="B62" s="127" t="s">
        <v>932</v>
      </c>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row>
    <row r="63" spans="1:34" ht="20.100000000000001" customHeight="1" x14ac:dyDescent="0.25">
      <c r="A63" s="123">
        <f t="shared" ref="A63:A69" si="3">+A62+0.1</f>
        <v>6.2999999999999989</v>
      </c>
      <c r="B63" s="127" t="s">
        <v>938</v>
      </c>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row>
    <row r="64" spans="1:34" ht="20.100000000000001" customHeight="1" x14ac:dyDescent="0.25">
      <c r="A64" s="123">
        <f t="shared" si="3"/>
        <v>6.3999999999999986</v>
      </c>
      <c r="B64" s="127" t="s">
        <v>933</v>
      </c>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row>
    <row r="65" spans="1:34" ht="20.100000000000001" customHeight="1" x14ac:dyDescent="0.25">
      <c r="A65" s="123">
        <f t="shared" si="3"/>
        <v>6.4999999999999982</v>
      </c>
      <c r="B65" s="157" t="s">
        <v>930</v>
      </c>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row>
    <row r="66" spans="1:34" ht="20.100000000000001" customHeight="1" x14ac:dyDescent="0.25">
      <c r="A66" s="123">
        <f t="shared" si="3"/>
        <v>6.5999999999999979</v>
      </c>
      <c r="B66" s="127" t="s">
        <v>934</v>
      </c>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row>
    <row r="67" spans="1:34" ht="20.100000000000001" customHeight="1" x14ac:dyDescent="0.25">
      <c r="A67" s="123">
        <f t="shared" si="3"/>
        <v>6.6999999999999975</v>
      </c>
      <c r="B67" s="127" t="s">
        <v>937</v>
      </c>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187"/>
      <c r="AH67" s="187"/>
    </row>
    <row r="68" spans="1:34" ht="20.100000000000001" customHeight="1" x14ac:dyDescent="0.25">
      <c r="A68" s="123">
        <f t="shared" si="3"/>
        <v>6.7999999999999972</v>
      </c>
      <c r="B68" s="127" t="s">
        <v>936</v>
      </c>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row>
    <row r="69" spans="1:34" ht="20.100000000000001" customHeight="1" x14ac:dyDescent="0.25">
      <c r="A69" s="123">
        <f t="shared" si="3"/>
        <v>6.8999999999999968</v>
      </c>
      <c r="B69" s="157" t="s">
        <v>931</v>
      </c>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187"/>
      <c r="AH69" s="187"/>
    </row>
    <row r="70" spans="1:34" ht="36" customHeight="1" x14ac:dyDescent="0.25">
      <c r="A70" s="124">
        <f>+A61</f>
        <v>6.1</v>
      </c>
      <c r="B70" s="128" t="s">
        <v>935</v>
      </c>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87"/>
      <c r="AF70" s="187"/>
      <c r="AG70" s="187"/>
      <c r="AH70" s="187"/>
    </row>
    <row r="71" spans="1:34" s="126" customFormat="1" ht="27" customHeight="1" x14ac:dyDescent="0.25">
      <c r="A71" s="121">
        <f>+A60+1</f>
        <v>7</v>
      </c>
      <c r="B71" s="125" t="s">
        <v>723</v>
      </c>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187"/>
      <c r="AH71" s="187"/>
    </row>
    <row r="72" spans="1:34" s="126" customFormat="1" ht="27" customHeight="1" x14ac:dyDescent="0.25">
      <c r="A72" s="121">
        <f>+A71+1</f>
        <v>8</v>
      </c>
      <c r="B72" s="125" t="s">
        <v>724</v>
      </c>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187"/>
      <c r="AH72" s="187"/>
    </row>
  </sheetData>
  <mergeCells count="9">
    <mergeCell ref="AA1:AH1"/>
    <mergeCell ref="A1:B1"/>
    <mergeCell ref="A53:A56"/>
    <mergeCell ref="A35:A46"/>
    <mergeCell ref="A57:A58"/>
    <mergeCell ref="A7:A22"/>
    <mergeCell ref="C1:J1"/>
    <mergeCell ref="K1:R1"/>
    <mergeCell ref="S1:Z1"/>
  </mergeCells>
  <pageMargins left="0.11811023622047245" right="0.11811023622047245" top="0.35433070866141736" bottom="0.19685039370078741" header="0.31496062992125984" footer="0.31496062992125984"/>
  <pageSetup paperSize="9" scale="70" fitToHeight="2" orientation="landscape" r:id="rId1"/>
  <rowBreaks count="2" manualBreakCount="2">
    <brk id="32" max="24" man="1"/>
    <brk id="59" max="2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DPR Stage ....Date</vt:lpstr>
      <vt:lpstr>Sheet1</vt:lpstr>
      <vt:lpstr>DPR Stage(NEW)...9.2.24</vt:lpstr>
      <vt:lpstr>DPR Activity Checklist</vt:lpstr>
      <vt:lpstr>Stage Report</vt:lpstr>
      <vt:lpstr>Approval Authority GDR</vt:lpstr>
      <vt:lpstr>Approval Authority .</vt:lpstr>
      <vt:lpstr>DPR activity</vt:lpstr>
      <vt:lpstr>Checklist</vt:lpstr>
      <vt:lpstr>'DPR Activity Checklist'!prevWBS</vt:lpstr>
      <vt:lpstr>'Approval Authority .'!Print_Area</vt:lpstr>
      <vt:lpstr>Checklist!Print_Area</vt:lpstr>
      <vt:lpstr>'DPR activity'!Print_Area</vt:lpstr>
      <vt:lpstr>'DPR Stage ....Date'!Print_Area</vt:lpstr>
      <vt:lpstr>'DPR Stage(NEW)...9.2.24'!Print_Area</vt:lpstr>
      <vt:lpstr>Sheet1!Print_Area</vt:lpstr>
      <vt:lpstr>'Stage Report'!Print_Area</vt:lpstr>
      <vt:lpstr>'Approval Authority .'!Print_Titles</vt:lpstr>
      <vt:lpstr>Checklist!Print_Titles</vt:lpstr>
      <vt:lpstr>'DPR activity'!Print_Titles</vt:lpstr>
      <vt:lpstr>'DPR Activity Checklist'!Print_Titles</vt:lpstr>
      <vt:lpstr>'DPR Stage ....Date'!Print_Titles</vt:lpstr>
      <vt:lpstr>'DPR Stage(NEW)...9.2.24'!Print_Titles</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2026-02-06T10:01:52Z</dcterms:modified>
</cp:coreProperties>
</file>